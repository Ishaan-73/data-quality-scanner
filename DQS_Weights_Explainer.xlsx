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imension Weights" sheetId="2" state="visible" r:id="rId2"/>
    <sheet name="All 33 Checks" sheetId="3" state="visible" r:id="rId3"/>
    <sheet name="Original vs. Redesigned" sheetId="4" state="visible" r:id="rId4"/>
    <sheet name="Scoring Logic" sheetId="5" state="visible" r:id="rId5"/>
    <sheet name="Implementation Road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1B3A6B"/>
      <sz val="11"/>
    </font>
    <font>
      <name val="Calibri"/>
      <b val="1"/>
      <color rgb="00FFFFFF"/>
      <sz val="12"/>
    </font>
    <font>
      <name val="Calibri"/>
      <b val="1"/>
      <color rgb="001E293B"/>
      <sz val="10"/>
    </font>
    <font>
      <name val="Calibri"/>
      <color rgb="00DC2626"/>
      <sz val="10"/>
    </font>
    <font>
      <name val="Calibri"/>
      <color rgb="001E293B"/>
      <sz val="10"/>
    </font>
    <font>
      <name val="Calibri"/>
      <b val="1"/>
      <color rgb="001B3A6B"/>
      <sz val="11"/>
    </font>
    <font>
      <name val="Calibri"/>
      <b val="1"/>
      <color rgb="001B3A6B"/>
      <sz val="10"/>
    </font>
    <font>
      <name val="Calibri"/>
      <b val="1"/>
      <color rgb="00FFFFFF"/>
      <sz val="10"/>
    </font>
    <font>
      <name val="Calibri"/>
      <color rgb="0016A34A"/>
      <sz val="10"/>
    </font>
    <font>
      <name val="Calibri"/>
      <i val="1"/>
      <color rgb="0064748B"/>
      <sz val="10"/>
    </font>
    <font>
      <name val="Calibri"/>
      <b val="1"/>
      <color rgb="001B3A6B"/>
      <sz val="14"/>
    </font>
    <font>
      <name val="Calibri"/>
      <i val="1"/>
      <color rgb="0064748B"/>
      <sz val="9"/>
    </font>
    <font>
      <name val="Calibri"/>
      <b val="1"/>
      <color rgb="00FFFFFF"/>
      <sz val="14"/>
    </font>
    <font>
      <name val="Calibri"/>
      <i val="1"/>
      <color rgb="001B3A6B"/>
      <sz val="10"/>
    </font>
    <font>
      <name val="Calibri"/>
      <color rgb="0064748B"/>
      <sz val="10"/>
    </font>
    <font>
      <name val="Calibri"/>
      <b val="1"/>
      <color rgb="001E293B"/>
      <sz val="9"/>
    </font>
    <font>
      <name val="Calibri"/>
      <color rgb="0064748B"/>
      <sz val="9"/>
    </font>
    <font>
      <name val="Calibri"/>
      <b val="1"/>
      <color rgb="00D97706"/>
      <sz val="9"/>
    </font>
    <font>
      <name val="Calibri"/>
      <b val="1"/>
      <color rgb="0064748B"/>
      <sz val="9"/>
    </font>
    <font>
      <name val="Calibri"/>
      <color rgb="001E293B"/>
      <sz val="11"/>
    </font>
    <font>
      <name val="Calibri"/>
      <b val="1"/>
      <color rgb="0016A34A"/>
      <sz val="10"/>
    </font>
    <font>
      <name val="Calibri"/>
      <color rgb="001E293B"/>
      <sz val="9"/>
    </font>
    <font>
      <name val="Calibri"/>
      <b val="1"/>
      <color rgb="0016A34A"/>
      <sz val="9"/>
    </font>
    <font>
      <name val="Calibri"/>
      <b val="1"/>
      <color rgb="00DC2626"/>
      <sz val="10"/>
    </font>
    <font>
      <name val="Calibri"/>
      <b val="1"/>
      <color rgb="00DC2626"/>
      <sz val="9"/>
    </font>
    <font>
      <name val="Calibri"/>
      <b val="1"/>
      <color rgb="00DC2626"/>
      <sz val="11"/>
    </font>
    <font>
      <name val="Calibri"/>
      <b val="1"/>
      <color rgb="0016A34A"/>
      <sz val="11"/>
    </font>
    <font>
      <name val="Calibri"/>
      <b val="1"/>
      <color rgb="001B3A6B"/>
      <sz val="12"/>
    </font>
    <font>
      <name val="Calibri"/>
      <color rgb="001B3A6B"/>
      <sz val="10"/>
    </font>
    <font>
      <name val="Calibri"/>
      <color rgb="0016A34A"/>
      <sz val="9"/>
    </font>
    <font>
      <name val="Calibri"/>
      <color rgb="00DC2626"/>
      <sz val="9"/>
    </font>
    <font>
      <name val="Calibri"/>
      <b val="1"/>
      <color rgb="00D97706"/>
      <sz val="10"/>
    </font>
    <font>
      <name val="Calibri"/>
      <b val="1"/>
      <color rgb="00D97706"/>
      <sz val="11"/>
    </font>
    <font>
      <name val="Calibri"/>
      <i val="1"/>
      <color rgb="0016A34A"/>
      <sz val="10"/>
    </font>
    <font>
      <name val="Calibri"/>
      <i val="1"/>
      <color rgb="00D97706"/>
      <sz val="10"/>
    </font>
    <font>
      <name val="Calibri"/>
      <color rgb="00D97706"/>
      <sz val="9"/>
    </font>
  </fonts>
  <fills count="12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DBEAFE"/>
      </patternFill>
    </fill>
    <fill>
      <patternFill patternType="solid">
        <fgColor rgb="00F8FAFC"/>
      </patternFill>
    </fill>
    <fill>
      <patternFill patternType="solid">
        <fgColor rgb="00FEE2E2"/>
      </patternFill>
    </fill>
    <fill>
      <patternFill patternType="solid">
        <fgColor rgb="0093C5FD"/>
      </patternFill>
    </fill>
    <fill>
      <patternFill patternType="solid">
        <fgColor rgb="00FFFFFF"/>
      </patternFill>
    </fill>
    <fill>
      <patternFill patternType="solid">
        <fgColor rgb="002563EB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left" vertical="center"/>
    </xf>
    <xf numFmtId="0" fontId="12" fillId="3" borderId="0" applyAlignment="1" pivotButton="0" quotePrefix="0" xfId="0">
      <alignment horizontal="center" vertical="center"/>
    </xf>
    <xf numFmtId="0" fontId="13" fillId="7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2" fontId="8" fillId="3" borderId="1" applyAlignment="1" pivotButton="0" quotePrefix="0" xfId="0">
      <alignment horizontal="center" vertical="center"/>
    </xf>
    <xf numFmtId="9" fontId="6" fillId="9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/>
    </xf>
    <xf numFmtId="0" fontId="18" fillId="7" borderId="1" applyAlignment="1" pivotButton="0" quotePrefix="0" xfId="0">
      <alignment horizontal="left" vertical="center" wrapText="1"/>
    </xf>
    <xf numFmtId="0" fontId="16" fillId="4" borderId="1" applyAlignment="1" pivotButton="0" quotePrefix="0" xfId="0">
      <alignment horizontal="center" vertical="center"/>
    </xf>
    <xf numFmtId="9" fontId="6" fillId="1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18" fillId="4" borderId="1" applyAlignment="1" pivotButton="0" quotePrefix="0" xfId="0">
      <alignment horizontal="left" vertical="center" wrapText="1"/>
    </xf>
    <xf numFmtId="9" fontId="6" fillId="5" borderId="1" applyAlignment="1" pivotButton="0" quotePrefix="0" xfId="0">
      <alignment horizontal="center" vertical="center"/>
    </xf>
    <xf numFmtId="0" fontId="19" fillId="10" borderId="1" applyAlignment="1" pivotButton="0" quotePrefix="0" xfId="0">
      <alignment horizontal="center" vertical="center"/>
    </xf>
    <xf numFmtId="2" fontId="6" fillId="4" borderId="1" applyAlignment="1" pivotButton="0" quotePrefix="0" xfId="0">
      <alignment horizontal="center" vertical="center"/>
    </xf>
    <xf numFmtId="2" fontId="6" fillId="7" borderId="1" applyAlignment="1" pivotButton="0" quotePrefix="0" xfId="0">
      <alignment horizontal="center" vertical="center"/>
    </xf>
    <xf numFmtId="0" fontId="20" fillId="4" borderId="1" applyAlignment="1" pivotButton="0" quotePrefix="0" xfId="0">
      <alignment horizontal="center" vertical="center"/>
    </xf>
    <xf numFmtId="0" fontId="21" fillId="11" borderId="1" applyAlignment="1" pivotButton="0" quotePrefix="0" xfId="0">
      <alignment horizontal="left" vertical="center"/>
    </xf>
    <xf numFmtId="0" fontId="8" fillId="11" borderId="1" applyAlignment="1" pivotButton="0" quotePrefix="0" xfId="0">
      <alignment horizontal="right" vertical="center"/>
    </xf>
    <xf numFmtId="2" fontId="8" fillId="11" borderId="1" applyAlignment="1" pivotButton="0" quotePrefix="0" xfId="0">
      <alignment horizontal="center" vertical="center"/>
    </xf>
    <xf numFmtId="9" fontId="8" fillId="11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22" fillId="11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23" fillId="3" borderId="1" applyAlignment="1" pivotButton="0" quotePrefix="0" xfId="0">
      <alignment horizontal="center" vertical="center"/>
    </xf>
    <xf numFmtId="9" fontId="6" fillId="7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0" fontId="24" fillId="9" borderId="1" applyAlignment="1" pivotButton="0" quotePrefix="0" xfId="0">
      <alignment horizontal="center" vertical="center"/>
    </xf>
    <xf numFmtId="0" fontId="18" fillId="7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23" fillId="4" borderId="1" applyAlignment="1" pivotButton="0" quotePrefix="0" xfId="0">
      <alignment horizontal="center" vertical="center"/>
    </xf>
    <xf numFmtId="9" fontId="6" fillId="4" borderId="1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0" fontId="23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164" fontId="4" fillId="10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left" vertical="center"/>
    </xf>
    <xf numFmtId="164" fontId="22" fillId="11" borderId="1" applyAlignment="1" pivotButton="0" quotePrefix="0" xfId="0">
      <alignment horizontal="center" vertical="center"/>
    </xf>
    <xf numFmtId="0" fontId="25" fillId="5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2" fontId="6" fillId="5" borderId="1" applyAlignment="1" pivotButton="0" quotePrefix="0" xfId="0">
      <alignment horizontal="center" vertical="center"/>
    </xf>
    <xf numFmtId="164" fontId="6" fillId="9" borderId="1" applyAlignment="1" pivotButton="0" quotePrefix="0" xfId="0">
      <alignment horizontal="center" vertical="center"/>
    </xf>
    <xf numFmtId="0" fontId="26" fillId="5" borderId="1" applyAlignment="1" pivotButton="0" quotePrefix="0" xfId="0">
      <alignment horizontal="center" vertical="center"/>
    </xf>
    <xf numFmtId="2" fontId="27" fillId="5" borderId="1" applyAlignment="1" pivotButton="0" quotePrefix="0" xfId="0">
      <alignment horizontal="center" vertical="center"/>
    </xf>
    <xf numFmtId="164" fontId="28" fillId="9" borderId="1" applyAlignment="1" pivotButton="0" quotePrefix="0" xfId="0">
      <alignment horizontal="center" vertical="center"/>
    </xf>
    <xf numFmtId="0" fontId="22" fillId="9" borderId="1" applyAlignment="1" pivotButton="0" quotePrefix="0" xfId="0">
      <alignment horizontal="center" vertical="center"/>
    </xf>
    <xf numFmtId="0" fontId="29" fillId="3" borderId="0" applyAlignment="1" pivotButton="0" quotePrefix="0" xfId="0">
      <alignment horizontal="center" vertical="center" wrapText="1"/>
    </xf>
    <xf numFmtId="0" fontId="30" fillId="3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/>
    </xf>
    <xf numFmtId="0" fontId="31" fillId="9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/>
    </xf>
    <xf numFmtId="0" fontId="25" fillId="5" borderId="1" applyAlignment="1" pivotButton="0" quotePrefix="0" xfId="0">
      <alignment horizontal="center" vertical="center"/>
    </xf>
    <xf numFmtId="0" fontId="32" fillId="5" borderId="1" applyAlignment="1" pivotButton="0" quotePrefix="0" xfId="0">
      <alignment horizontal="left" vertical="center" wrapText="1"/>
    </xf>
    <xf numFmtId="0" fontId="33" fillId="10" borderId="1" applyAlignment="1" pivotButton="0" quotePrefix="0" xfId="0">
      <alignment horizontal="center" vertical="center"/>
    </xf>
    <xf numFmtId="0" fontId="21" fillId="8" borderId="1" applyAlignment="1" pivotButton="0" quotePrefix="0" xfId="0">
      <alignment horizontal="left" vertical="center"/>
    </xf>
    <xf numFmtId="0" fontId="28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 wrapText="1"/>
    </xf>
    <xf numFmtId="0" fontId="34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35" fillId="9" borderId="0" applyAlignment="1" pivotButton="0" quotePrefix="0" xfId="0">
      <alignment horizontal="left" vertical="center" wrapText="1"/>
    </xf>
    <xf numFmtId="0" fontId="31" fillId="9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164" fontId="6" fillId="7" borderId="1" applyAlignment="1" pivotButton="0" quotePrefix="0" xfId="0">
      <alignment horizontal="center" vertical="center"/>
    </xf>
    <xf numFmtId="164" fontId="8" fillId="11" borderId="1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6" fillId="10" borderId="0" applyAlignment="1" pivotButton="0" quotePrefix="0" xfId="0">
      <alignment horizontal="left" vertical="center" wrapText="1"/>
    </xf>
    <xf numFmtId="0" fontId="37" fillId="10" borderId="1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Dimension Weight Distribution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'Dimension Weights'!$C$5:$C$17</f>
            </numRef>
          </cat>
          <val>
            <numRef>
              <f>'Dimension Weights'!$D$5:$D$17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19</row>
      <rowOff>0</rowOff>
    </from>
    <ext cx="50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B3A6B"/>
    <outlinePr summaryBelow="1" summaryRight="1"/>
    <pageSetUpPr/>
  </sheetPr>
  <dimension ref="B1:F30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14" customWidth="1" min="4" max="4"/>
    <col width="14" customWidth="1" min="5" max="5"/>
    <col width="50" customWidth="1" min="6" max="6"/>
    <col width="3" customWidth="1" min="7" max="7"/>
  </cols>
  <sheetData>
    <row r="1" ht="36" customHeight="1">
      <c r="B1" s="1" t="inlineStr">
        <is>
          <t>Data Quality Scanner — Weighting Methodology</t>
        </is>
      </c>
    </row>
    <row r="2" ht="18" customHeight="1">
      <c r="B2" s="2" t="inlineStr">
        <is>
          <t>Management Overview  ·  Framework: DAMA-DMBOK2 / ISO 25012</t>
        </is>
      </c>
    </row>
    <row r="3" ht="12" customHeight="1"/>
    <row r="4" ht="22" customHeight="1">
      <c r="B4" s="3" t="inlineStr">
        <is>
          <t>WHY WE REDESIGNED THE WEIGHTS</t>
        </is>
      </c>
    </row>
    <row r="5" ht="18" customHeight="1">
      <c r="B5" s="4" t="inlineStr">
        <is>
          <t>The original specification assigned a flat weight to each of the 33 checks. This had two problems:</t>
        </is>
      </c>
    </row>
    <row r="6" ht="22" customHeight="1">
      <c r="B6" s="5" t="inlineStr">
        <is>
          <t xml:space="preserve">  1.  The weights summed to 1.37, not 1.00 — making any composite score mathematically meaningless (max score would be 137, not 100).</t>
        </is>
      </c>
    </row>
    <row r="7" ht="22" customHeight="1">
      <c r="B7" s="5" t="inlineStr">
        <is>
          <t xml:space="preserve">  2.  A flat list gives no way to tune how important a quality category is vs. how important a specific check is within that category.</t>
        </is>
      </c>
    </row>
    <row r="8" ht="18" customHeight="1">
      <c r="B8" s="6" t="inlineStr"/>
    </row>
    <row r="9" ht="18" customHeight="1">
      <c r="B9" s="6" t="inlineStr">
        <is>
          <t>The redesign introduces a two-level hierarchy that keeps both layers independently normalised to 1.00,</t>
        </is>
      </c>
    </row>
    <row r="10" ht="18" customHeight="1">
      <c r="B10" s="6" t="inlineStr">
        <is>
          <t>producing a valid 0–100 quality score grounded in industry research.</t>
        </is>
      </c>
    </row>
    <row r="11" ht="14" customHeight="1"/>
    <row r="12" ht="22" customHeight="1">
      <c r="B12" s="3" t="inlineStr">
        <is>
          <t>THE TWO-LEVEL WEIGHT SYSTEM</t>
        </is>
      </c>
    </row>
    <row r="13" ht="24" customHeight="1">
      <c r="B13" s="7" t="inlineStr">
        <is>
          <t>Overall Quality Score  =  Σ ( Dimension Weight  ×  Check-Within-Dimension Weight  ×  Pass Score )  ×  100</t>
        </is>
      </c>
    </row>
    <row r="14" ht="32" customHeight="1">
      <c r="B14" s="8" t="inlineStr">
        <is>
          <t>Level 1 — Dimension Weights</t>
        </is>
      </c>
      <c r="D14" s="9" t="inlineStr">
        <is>
          <t>How important is each quality category (Completeness, Uniqueness, etc.) relative to all others?  13 dimensions, sum = 1.00.</t>
        </is>
      </c>
    </row>
    <row r="15" ht="32" customHeight="1">
      <c r="B15" s="8" t="inlineStr">
        <is>
          <t>Level 2 — Check-Within-Dimension Weights</t>
        </is>
      </c>
      <c r="D15" s="9" t="inlineStr">
        <is>
          <t>Within a given dimension, which specific check matters most?  Each dimension's checks sum to 1.00 independently.</t>
        </is>
      </c>
    </row>
    <row r="16" ht="32" customHeight="1">
      <c r="B16" s="8" t="inlineStr">
        <is>
          <t>Effective Weight per Check</t>
        </is>
      </c>
      <c r="D16" s="9">
        <f> Dimension Weight × Check-Within-Dimension Weight.  All 33 effective weights sum to 1.00.</f>
        <v/>
      </c>
    </row>
    <row r="17" ht="32" customHeight="1">
      <c r="B17" s="8" t="inlineStr">
        <is>
          <t>Pass Score</t>
        </is>
      </c>
      <c r="D17" s="9" t="inlineStr">
        <is>
          <t>Not binary. A check that barely fails scores higher than one that fails badly. Linear proximity scoring from 1.0 (at threshold) to 0.0.</t>
        </is>
      </c>
    </row>
    <row r="18" ht="14" customHeight="1"/>
    <row r="19" ht="22" customHeight="1">
      <c r="B19" s="3" t="inlineStr">
        <is>
          <t>BEFORE vs. AFTER COMPARISON</t>
        </is>
      </c>
    </row>
    <row r="20">
      <c r="B20" s="10" t="inlineStr"/>
      <c r="C20" s="10" t="inlineStr">
        <is>
          <t>Original Spec</t>
        </is>
      </c>
      <c r="D20" s="10" t="inlineStr">
        <is>
          <t>Redesigned</t>
        </is>
      </c>
      <c r="E20" s="10" t="inlineStr">
        <is>
          <t>Improvement</t>
        </is>
      </c>
    </row>
    <row r="21" ht="18" customHeight="1">
      <c r="B21" s="11" t="inlineStr">
        <is>
          <t>Weights sum to</t>
        </is>
      </c>
      <c r="C21" s="12" t="inlineStr">
        <is>
          <t>1.37  ✗</t>
        </is>
      </c>
      <c r="D21" s="13" t="inlineStr">
        <is>
          <t>1.00  ✓</t>
        </is>
      </c>
      <c r="E21" s="14" t="inlineStr">
        <is>
          <t>Mathematically valid</t>
        </is>
      </c>
    </row>
    <row r="22" ht="18" customHeight="1">
      <c r="B22" s="15" t="inlineStr">
        <is>
          <t>Maximum score</t>
        </is>
      </c>
      <c r="C22" s="12" t="inlineStr">
        <is>
          <t>137   ✗</t>
        </is>
      </c>
      <c r="D22" s="13" t="inlineStr">
        <is>
          <t>100   ✓</t>
        </is>
      </c>
      <c r="E22" s="16" t="inlineStr">
        <is>
          <t>Normalised 0–100 scale</t>
        </is>
      </c>
    </row>
    <row r="23" ht="18" customHeight="1">
      <c r="B23" s="11" t="inlineStr">
        <is>
          <t>Score structure</t>
        </is>
      </c>
      <c r="C23" s="12" t="inlineStr">
        <is>
          <t>Flat list</t>
        </is>
      </c>
      <c r="D23" s="13" t="inlineStr">
        <is>
          <t>Two-level hierarchy</t>
        </is>
      </c>
      <c r="E23" s="14" t="inlineStr">
        <is>
          <t>Tunable at category + check level</t>
        </is>
      </c>
    </row>
    <row r="24" ht="18" customHeight="1">
      <c r="B24" s="15" t="inlineStr">
        <is>
          <t>Partial credit</t>
        </is>
      </c>
      <c r="C24" s="12" t="inlineStr">
        <is>
          <t>None</t>
        </is>
      </c>
      <c r="D24" s="13" t="inlineStr">
        <is>
          <t>Proximity scoring</t>
        </is>
      </c>
      <c r="E24" s="16" t="inlineStr">
        <is>
          <t>Gradual penalty for near-misses</t>
        </is>
      </c>
    </row>
    <row r="25" ht="18" customHeight="1">
      <c r="B25" s="11" t="inlineStr">
        <is>
          <t>Advisory checks</t>
        </is>
      </c>
      <c r="C25" s="12" t="inlineStr">
        <is>
          <t>Not handled</t>
        </is>
      </c>
      <c r="D25" s="13" t="inlineStr">
        <is>
          <t>threshold=None → always pass</t>
        </is>
      </c>
      <c r="E25" s="14" t="inlineStr">
        <is>
          <t>No score penalty for exploratory checks</t>
        </is>
      </c>
    </row>
    <row r="26" ht="18" customHeight="1">
      <c r="B26" s="15" t="inlineStr">
        <is>
          <t>Industry grounding</t>
        </is>
      </c>
      <c r="C26" s="12" t="inlineStr">
        <is>
          <t>Custom</t>
        </is>
      </c>
      <c r="D26" s="13" t="inlineStr">
        <is>
          <t>DAMA-DMBOK2 / ISO 25012</t>
        </is>
      </c>
      <c r="E26" s="16" t="inlineStr">
        <is>
          <t>Peer-reviewed priority ordering</t>
        </is>
      </c>
    </row>
    <row r="27" ht="14" customHeight="1"/>
    <row r="28" ht="22" customHeight="1">
      <c r="B28" s="3" t="inlineStr">
        <is>
          <t>KEY FACTS AT A GLANCE</t>
        </is>
      </c>
    </row>
    <row r="29" ht="28" customHeight="1">
      <c r="B29" s="17" t="inlineStr">
        <is>
          <t>33</t>
        </is>
      </c>
      <c r="C29" s="17" t="inlineStr">
        <is>
          <t>13</t>
        </is>
      </c>
      <c r="D29" s="17" t="inlineStr">
        <is>
          <t>20</t>
        </is>
      </c>
      <c r="E29" s="17" t="inlineStr">
        <is>
          <t>1.00</t>
        </is>
      </c>
      <c r="F29" s="17" t="inlineStr">
        <is>
          <t>0–100</t>
        </is>
      </c>
    </row>
    <row r="30" ht="16" customHeight="1">
      <c r="B30" s="18" t="inlineStr">
        <is>
          <t>Total Checks</t>
        </is>
      </c>
      <c r="C30" s="18" t="inlineStr">
        <is>
          <t>Quality Dimensions</t>
        </is>
      </c>
      <c r="D30" s="18" t="inlineStr">
        <is>
          <t>MVP Phase 1 Checks</t>
        </is>
      </c>
      <c r="E30" s="18" t="inlineStr">
        <is>
          <t>Sum of all effective weights</t>
        </is>
      </c>
      <c r="F30" s="18" t="inlineStr">
        <is>
          <t>Quality score range</t>
        </is>
      </c>
    </row>
  </sheetData>
  <mergeCells count="21">
    <mergeCell ref="B4:F4"/>
    <mergeCell ref="B7:F7"/>
    <mergeCell ref="B16:C16"/>
    <mergeCell ref="D17:F17"/>
    <mergeCell ref="D16:F16"/>
    <mergeCell ref="B12:F12"/>
    <mergeCell ref="B2:F2"/>
    <mergeCell ref="B14:C14"/>
    <mergeCell ref="B1:F1"/>
    <mergeCell ref="B17:C17"/>
    <mergeCell ref="B8:F8"/>
    <mergeCell ref="D15:F15"/>
    <mergeCell ref="B13:F13"/>
    <mergeCell ref="D14:F14"/>
    <mergeCell ref="B10:F10"/>
    <mergeCell ref="B28:F28"/>
    <mergeCell ref="B19:F19"/>
    <mergeCell ref="B9:F9"/>
    <mergeCell ref="B6:F6"/>
    <mergeCell ref="B15:C15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B1:H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22" customWidth="1" min="3" max="3"/>
    <col width="12" customWidth="1" min="4" max="4"/>
    <col width="12" customWidth="1" min="5" max="5"/>
    <col width="10" customWidth="1" min="6" max="6"/>
    <col width="10" customWidth="1" min="7" max="7"/>
    <col width="52" customWidth="1" min="8" max="8"/>
    <col width="3" customWidth="1" min="9" max="9"/>
  </cols>
  <sheetData>
    <row r="1" ht="32" customHeight="1">
      <c r="B1" s="19" t="inlineStr">
        <is>
          <t>Level 1 — Dimension Weights</t>
        </is>
      </c>
    </row>
    <row r="2" ht="18" customHeight="1">
      <c r="B2" s="20" t="inlineStr">
        <is>
          <t>13 quality dimensions ordered by analytics impact. Weights sum to exactly 1.00. Based on DAMA-DMBOK2 and ISO 25012.</t>
        </is>
      </c>
    </row>
    <row r="3" ht="10" customHeight="1"/>
    <row r="4" ht="20" customHeight="1">
      <c r="B4" s="10" t="inlineStr">
        <is>
          <t>#</t>
        </is>
      </c>
      <c r="C4" s="10" t="inlineStr">
        <is>
          <t>Dimension</t>
        </is>
      </c>
      <c r="D4" s="10" t="inlineStr">
        <is>
          <t>Weight</t>
        </is>
      </c>
      <c r="E4" s="10" t="inlineStr">
        <is>
          <t>% of Score</t>
        </is>
      </c>
      <c r="F4" s="10" t="inlineStr">
        <is>
          <t>Checks</t>
        </is>
      </c>
      <c r="G4" s="10" t="inlineStr">
        <is>
          <t>Phase</t>
        </is>
      </c>
      <c r="H4" s="10" t="inlineStr">
        <is>
          <t>Why This Priority</t>
        </is>
      </c>
    </row>
    <row r="5" ht="30" customHeight="1">
      <c r="B5" s="21" t="n">
        <v>1</v>
      </c>
      <c r="C5" s="11" t="inlineStr">
        <is>
          <t>Completeness</t>
        </is>
      </c>
      <c r="D5" s="22" t="n">
        <v>0.2</v>
      </c>
      <c r="E5" s="23" t="n">
        <v>0.2</v>
      </c>
      <c r="F5" s="24" t="n">
        <v>4</v>
      </c>
      <c r="G5" s="25" t="inlineStr">
        <is>
          <t>MVP</t>
        </is>
      </c>
      <c r="H5" s="26" t="inlineStr">
        <is>
          <t>Missing data breaks all downstream analytics and AI models. A null in a join key silently drops rows; a null in a model feature corrupts predictions. Highest blast radius of any dimension.</t>
        </is>
      </c>
    </row>
    <row r="6" ht="30" customHeight="1">
      <c r="B6" s="27" t="n">
        <v>2</v>
      </c>
      <c r="C6" s="15" t="inlineStr">
        <is>
          <t>Uniqueness</t>
        </is>
      </c>
      <c r="D6" s="22" t="n">
        <v>0.14</v>
      </c>
      <c r="E6" s="28" t="n">
        <v>0.14</v>
      </c>
      <c r="F6" s="29" t="n">
        <v>3</v>
      </c>
      <c r="G6" s="25" t="inlineStr">
        <is>
          <t>MVP</t>
        </is>
      </c>
      <c r="H6" s="30" t="inlineStr">
        <is>
          <t>Duplicates silently inflate aggregations. A 2% duplicate rate in a fact table means every SUM() is wrong by 2%. Silent and compounding.</t>
        </is>
      </c>
    </row>
    <row r="7" ht="30" customHeight="1">
      <c r="B7" s="21" t="n">
        <v>3</v>
      </c>
      <c r="C7" s="11" t="inlineStr">
        <is>
          <t>Validity</t>
        </is>
      </c>
      <c r="D7" s="22" t="n">
        <v>0.14</v>
      </c>
      <c r="E7" s="28" t="n">
        <v>0.14</v>
      </c>
      <c r="F7" s="24" t="n">
        <v>5</v>
      </c>
      <c r="G7" s="25" t="inlineStr">
        <is>
          <t>MVP</t>
        </is>
      </c>
      <c r="H7" s="26" t="inlineStr">
        <is>
          <t>Type and format errors either crash pipelines at ingestion or silently coerce values to NULL. Same blast radius as completeness at the column level.</t>
        </is>
      </c>
    </row>
    <row r="8" ht="30" customHeight="1">
      <c r="B8" s="27" t="n">
        <v>4</v>
      </c>
      <c r="C8" s="15" t="inlineStr">
        <is>
          <t>Integrity</t>
        </is>
      </c>
      <c r="D8" s="22" t="n">
        <v>0.12</v>
      </c>
      <c r="E8" s="31" t="n">
        <v>0.12</v>
      </c>
      <c r="F8" s="29" t="n">
        <v>3</v>
      </c>
      <c r="G8" s="25" t="inlineStr">
        <is>
          <t>MVP</t>
        </is>
      </c>
      <c r="H8" s="30" t="inlineStr">
        <is>
          <t>FK violations mean joins produce wrong results — analysts see numbers, they just aren't trustworthy. High trust signal for analytics joins.</t>
        </is>
      </c>
    </row>
    <row r="9" ht="30" customHeight="1">
      <c r="B9" s="21" t="n">
        <v>5</v>
      </c>
      <c r="C9" s="11" t="inlineStr">
        <is>
          <t>Accuracy</t>
        </is>
      </c>
      <c r="D9" s="22" t="n">
        <v>0.1</v>
      </c>
      <c r="E9" s="31" t="n">
        <v>0.1</v>
      </c>
      <c r="F9" s="24" t="n">
        <v>3</v>
      </c>
      <c r="G9" s="32" t="inlineStr">
        <is>
          <t>Phase 2</t>
        </is>
      </c>
      <c r="H9" s="26" t="inlineStr">
        <is>
          <t>Source-of-truth reconciliation. Requires a reference/source to compare against — harder to compute but very high signal when available.</t>
        </is>
      </c>
    </row>
    <row r="10" ht="30" customHeight="1">
      <c r="B10" s="27" t="n">
        <v>6</v>
      </c>
      <c r="C10" s="15" t="inlineStr">
        <is>
          <t>Freshness</t>
        </is>
      </c>
      <c r="D10" s="33" t="n">
        <v>0.09</v>
      </c>
      <c r="E10" s="31" t="n">
        <v>0.09</v>
      </c>
      <c r="F10" s="29" t="n">
        <v>3</v>
      </c>
      <c r="G10" s="25" t="inlineStr">
        <is>
          <t>MVP</t>
        </is>
      </c>
      <c r="H10" s="30" t="inlineStr">
        <is>
          <t>Stale data misleads decisions and degrades AI inference quality. Vital for operational and real-time workloads.</t>
        </is>
      </c>
    </row>
    <row r="11" ht="30" customHeight="1">
      <c r="B11" s="21" t="n">
        <v>7</v>
      </c>
      <c r="C11" s="11" t="inlineStr">
        <is>
          <t>Consistency</t>
        </is>
      </c>
      <c r="D11" s="34" t="n">
        <v>0.08</v>
      </c>
      <c r="E11" s="31" t="n">
        <v>0.08</v>
      </c>
      <c r="F11" s="24" t="n">
        <v>4</v>
      </c>
      <c r="G11" s="32" t="inlineStr">
        <is>
          <t>Phase 2</t>
        </is>
      </c>
      <c r="H11" s="26" t="inlineStr">
        <is>
          <t>Cross-table and cross-field alignment. Requires more setup (table mapping, standards definitions) than foundational checks.</t>
        </is>
      </c>
    </row>
    <row r="12" ht="30" customHeight="1">
      <c r="B12" s="27" t="n">
        <v>8</v>
      </c>
      <c r="C12" s="15" t="inlineStr">
        <is>
          <t>Volume</t>
        </is>
      </c>
      <c r="D12" s="33" t="n">
        <v>0.05</v>
      </c>
      <c r="E12" s="31" t="n">
        <v>0.05</v>
      </c>
      <c r="F12" s="29" t="n">
        <v>2</v>
      </c>
      <c r="G12" s="25" t="inlineStr">
        <is>
          <t>MVP</t>
        </is>
      </c>
      <c r="H12" s="30" t="inlineStr">
        <is>
          <t>Row count anomalies and missing partitions are leading indicators of upstream pipeline failures.</t>
        </is>
      </c>
    </row>
    <row r="13" ht="30" customHeight="1">
      <c r="B13" s="21" t="n">
        <v>9</v>
      </c>
      <c r="C13" s="11" t="inlineStr">
        <is>
          <t>Anomaly</t>
        </is>
      </c>
      <c r="D13" s="34" t="n">
        <v>0.03</v>
      </c>
      <c r="E13" s="31" t="n">
        <v>0.03</v>
      </c>
      <c r="F13" s="24" t="n">
        <v>2</v>
      </c>
      <c r="G13" s="32" t="inlineStr">
        <is>
          <t>Phase 2</t>
        </is>
      </c>
      <c r="H13" s="26" t="inlineStr">
        <is>
          <t>Statistical outliers and distribution drift. Useful signal once baselines exist; advisory by default.</t>
        </is>
      </c>
    </row>
    <row r="14" ht="30" customHeight="1">
      <c r="B14" s="27" t="n">
        <v>10</v>
      </c>
      <c r="C14" s="15" t="inlineStr">
        <is>
          <t>Schema</t>
        </is>
      </c>
      <c r="D14" s="33" t="n">
        <v>0.02</v>
      </c>
      <c r="E14" s="31" t="n">
        <v>0.02</v>
      </c>
      <c r="F14" s="29" t="n">
        <v>1</v>
      </c>
      <c r="G14" s="32" t="inlineStr">
        <is>
          <t>Phase 2</t>
        </is>
      </c>
      <c r="H14" s="30" t="inlineStr">
        <is>
          <t>Structural drift detection. Requires a baseline snapshot to compare against.</t>
        </is>
      </c>
    </row>
    <row r="15" ht="30" customHeight="1">
      <c r="B15" s="21" t="n">
        <v>11</v>
      </c>
      <c r="C15" s="11" t="inlineStr">
        <is>
          <t>Pipeline</t>
        </is>
      </c>
      <c r="D15" s="34" t="n">
        <v>0.01</v>
      </c>
      <c r="E15" s="31" t="n">
        <v>0.01</v>
      </c>
      <c r="F15" s="24" t="n">
        <v>1</v>
      </c>
      <c r="G15" s="32" t="inlineStr">
        <is>
          <t>Phase 2</t>
        </is>
      </c>
      <c r="H15" s="26" t="inlineStr">
        <is>
          <t>Operational health of data loads. Narrow scope — supplements other checks rather than standing alone.</t>
        </is>
      </c>
    </row>
    <row r="16" ht="30" customHeight="1">
      <c r="B16" s="27" t="n">
        <v>12</v>
      </c>
      <c r="C16" s="15" t="inlineStr">
        <is>
          <t>Time Series</t>
        </is>
      </c>
      <c r="D16" s="33" t="n">
        <v>0.01</v>
      </c>
      <c r="E16" s="31" t="n">
        <v>0.01</v>
      </c>
      <c r="F16" s="29" t="n">
        <v>1</v>
      </c>
      <c r="G16" s="35" t="inlineStr">
        <is>
          <t>Later</t>
        </is>
      </c>
      <c r="H16" s="30" t="inlineStr">
        <is>
          <t>Timestamp sequence integrity for event/time-series datasets. Specialised use case.</t>
        </is>
      </c>
    </row>
    <row r="17" ht="30" customHeight="1">
      <c r="B17" s="21" t="n">
        <v>13</v>
      </c>
      <c r="C17" s="11" t="inlineStr">
        <is>
          <t>Metadata</t>
        </is>
      </c>
      <c r="D17" s="34" t="n">
        <v>0.01</v>
      </c>
      <c r="E17" s="31" t="n">
        <v>0.01</v>
      </c>
      <c r="F17" s="24" t="n">
        <v>1</v>
      </c>
      <c r="G17" s="35" t="inlineStr">
        <is>
          <t>Later</t>
        </is>
      </c>
      <c r="H17" s="26" t="inlineStr">
        <is>
          <t>Governance-adjacent — missing descriptions, owners, and tags. Important for compliance but low direct analytics impact.</t>
        </is>
      </c>
    </row>
    <row r="18" ht="20" customHeight="1">
      <c r="B18" s="36" t="inlineStr"/>
      <c r="C18" s="37" t="inlineStr">
        <is>
          <t>TOTAL</t>
        </is>
      </c>
      <c r="D18" s="38" t="n">
        <v>1</v>
      </c>
      <c r="E18" s="39" t="n">
        <v>1</v>
      </c>
      <c r="F18" s="40" t="n">
        <v>33</v>
      </c>
      <c r="G18" s="36" t="inlineStr"/>
      <c r="H18" s="41" t="inlineStr">
        <is>
          <t>✓  Sum validated programmatically on every run.</t>
        </is>
      </c>
    </row>
  </sheetData>
  <mergeCells count="2">
    <mergeCell ref="B1:H1"/>
    <mergeCell ref="B2:H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0EA5E9"/>
    <outlinePr summaryBelow="1" summaryRight="1"/>
    <pageSetUpPr/>
  </sheetPr>
  <dimension ref="B1:K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32" customWidth="1" min="3" max="3"/>
    <col width="16" customWidth="1" min="4" max="4"/>
    <col width="12" customWidth="1" min="5" max="5"/>
    <col width="14" customWidth="1" min="6" max="6"/>
    <col width="14" customWidth="1" min="7" max="7"/>
    <col width="10" customWidth="1" min="8" max="8"/>
    <col width="12" customWidth="1" min="9" max="9"/>
    <col width="10" customWidth="1" min="10" max="10"/>
    <col width="40" customWidth="1" min="11" max="11"/>
    <col width="3" customWidth="1" min="12" max="12"/>
  </cols>
  <sheetData>
    <row r="1" ht="32" customHeight="1">
      <c r="B1" s="19" t="inlineStr">
        <is>
          <t>All 33 Quality Checks — Weights &amp; Configuration</t>
        </is>
      </c>
    </row>
    <row r="2" ht="18" customHeight="1">
      <c r="B2" s="20" t="inlineStr">
        <is>
          <t>Effective Weight = Dimension Weight × Check-Within-Dimension Weight.  All 33 effective weights sum to 1.00.</t>
        </is>
      </c>
    </row>
    <row r="3" ht="10" customHeight="1"/>
    <row r="4" ht="30" customHeight="1">
      <c r="B4" s="42" t="inlineStr">
        <is>
          <t>ID</t>
        </is>
      </c>
      <c r="C4" s="42" t="inlineStr">
        <is>
          <t>Check Name</t>
        </is>
      </c>
      <c r="D4" s="42" t="inlineStr">
        <is>
          <t>Dimension</t>
        </is>
      </c>
      <c r="E4" s="42" t="inlineStr">
        <is>
          <t>Dim Weight</t>
        </is>
      </c>
      <c r="F4" s="42" t="inlineStr">
        <is>
          <t>Check Weight
(within dim)</t>
        </is>
      </c>
      <c r="G4" s="42" t="inlineStr">
        <is>
          <t>Effective
Weight</t>
        </is>
      </c>
      <c r="H4" s="42" t="inlineStr">
        <is>
          <t>Threshold</t>
        </is>
      </c>
      <c r="I4" s="42" t="inlineStr">
        <is>
          <t>Phase</t>
        </is>
      </c>
      <c r="J4" s="42" t="inlineStr">
        <is>
          <t>Direction</t>
        </is>
      </c>
      <c r="K4" s="42" t="inlineStr">
        <is>
          <t>Rationale</t>
        </is>
      </c>
    </row>
    <row r="5" ht="30" customHeight="1">
      <c r="B5" s="21" t="n">
        <v>1</v>
      </c>
      <c r="C5" s="43" t="inlineStr">
        <is>
          <t>Null Ratio by Column</t>
        </is>
      </c>
      <c r="D5" s="44" t="inlineStr">
        <is>
          <t>Completeness</t>
        </is>
      </c>
      <c r="E5" s="45" t="n">
        <v>0.2</v>
      </c>
      <c r="F5" s="45" t="n">
        <v>0.3</v>
      </c>
      <c r="G5" s="46" t="n">
        <v>0.06</v>
      </c>
      <c r="H5" s="24" t="inlineStr">
        <is>
          <t>≤ 5%</t>
        </is>
      </c>
      <c r="I5" s="47" t="inlineStr">
        <is>
          <t>MVP (Phase 1)</t>
        </is>
      </c>
      <c r="J5" s="48" t="inlineStr">
        <is>
          <t>Lower = Better</t>
        </is>
      </c>
      <c r="K5" s="26" t="inlineStr">
        <is>
          <t>Baseline null profiling across all columns.</t>
        </is>
      </c>
    </row>
    <row r="6" ht="30" customHeight="1">
      <c r="B6" s="27" t="n">
        <v>2</v>
      </c>
      <c r="C6" s="49" t="inlineStr">
        <is>
          <t>Null Ratio in Critical Columns</t>
        </is>
      </c>
      <c r="D6" s="50" t="inlineStr">
        <is>
          <t>Completeness</t>
        </is>
      </c>
      <c r="E6" s="51" t="n">
        <v>0.2</v>
      </c>
      <c r="F6" s="51" t="n">
        <v>0.4</v>
      </c>
      <c r="G6" s="46" t="n">
        <v>0.08000000000000002</v>
      </c>
      <c r="H6" s="29" t="inlineStr">
        <is>
          <t>≤ 1%</t>
        </is>
      </c>
      <c r="I6" s="47" t="inlineStr">
        <is>
          <t>MVP (Phase 1)</t>
        </is>
      </c>
      <c r="J6" s="52" t="inlineStr">
        <is>
          <t>Lower = Better</t>
        </is>
      </c>
      <c r="K6" s="30" t="inlineStr">
        <is>
          <t>Highest completeness weight — zero-tolerance on key columns like IDs and emails.</t>
        </is>
      </c>
    </row>
    <row r="7" ht="30" customHeight="1">
      <c r="B7" s="21" t="n">
        <v>3</v>
      </c>
      <c r="C7" s="43" t="inlineStr">
        <is>
          <t>Empty Row Check</t>
        </is>
      </c>
      <c r="D7" s="53" t="inlineStr">
        <is>
          <t>Completeness</t>
        </is>
      </c>
      <c r="E7" s="45" t="n">
        <v>0.2</v>
      </c>
      <c r="F7" s="45" t="n">
        <v>0.1</v>
      </c>
      <c r="G7" s="54" t="n">
        <v>0.02</v>
      </c>
      <c r="H7" s="24">
        <f> 0</f>
        <v/>
      </c>
      <c r="I7" s="47" t="inlineStr">
        <is>
          <t>MVP (Phase 1)</t>
        </is>
      </c>
      <c r="J7" s="48" t="inlineStr">
        <is>
          <t>Lower = Better</t>
        </is>
      </c>
      <c r="K7" s="26" t="inlineStr">
        <is>
          <t>Rows where all major fields are null. Rare but critical when found.</t>
        </is>
      </c>
    </row>
    <row r="8" ht="30" customHeight="1">
      <c r="B8" s="27" t="n">
        <v>4</v>
      </c>
      <c r="C8" s="49" t="inlineStr">
        <is>
          <t>Conditional Completeness</t>
        </is>
      </c>
      <c r="D8" s="50" t="inlineStr">
        <is>
          <t>Completeness</t>
        </is>
      </c>
      <c r="E8" s="51" t="n">
        <v>0.2</v>
      </c>
      <c r="F8" s="51" t="n">
        <v>0.2</v>
      </c>
      <c r="G8" s="55" t="n">
        <v>0.04000000000000001</v>
      </c>
      <c r="H8" s="29" t="inlineStr">
        <is>
          <t>≤ 1%</t>
        </is>
      </c>
      <c r="I8" s="47" t="inlineStr">
        <is>
          <t>MVP (Phase 1)</t>
        </is>
      </c>
      <c r="J8" s="52" t="inlineStr">
        <is>
          <t>Lower = Better</t>
        </is>
      </c>
      <c r="K8" s="30" t="inlineStr">
        <is>
          <t>Required field must be present when a condition is true (e.g. shipping address when order type is ONLINE).</t>
        </is>
      </c>
    </row>
    <row r="9" ht="30" customHeight="1">
      <c r="B9" s="21" t="n">
        <v>5</v>
      </c>
      <c r="C9" s="43" t="inlineStr">
        <is>
          <t>PK Duplicate Ratio</t>
        </is>
      </c>
      <c r="D9" s="44" t="inlineStr">
        <is>
          <t>Uniqueness</t>
        </is>
      </c>
      <c r="E9" s="45" t="n">
        <v>0.14</v>
      </c>
      <c r="F9" s="45" t="n">
        <v>0.55</v>
      </c>
      <c r="G9" s="46" t="n">
        <v>0.07700000000000001</v>
      </c>
      <c r="H9" s="24">
        <f> 0</f>
        <v/>
      </c>
      <c r="I9" s="47" t="inlineStr">
        <is>
          <t>MVP (Phase 1)</t>
        </is>
      </c>
      <c r="J9" s="48" t="inlineStr">
        <is>
          <t>Lower = Better</t>
        </is>
      </c>
      <c r="K9" s="26" t="inlineStr">
        <is>
          <t>Highest uniqueness weight — any PK duplication is definitionally wrong. Zero tolerance.</t>
        </is>
      </c>
    </row>
    <row r="10" ht="30" customHeight="1">
      <c r="B10" s="27" t="n">
        <v>6</v>
      </c>
      <c r="C10" s="49" t="inlineStr">
        <is>
          <t>Business Key Duplicate Ratio</t>
        </is>
      </c>
      <c r="D10" s="50" t="inlineStr">
        <is>
          <t>Uniqueness</t>
        </is>
      </c>
      <c r="E10" s="51" t="n">
        <v>0.14</v>
      </c>
      <c r="F10" s="51" t="n">
        <v>0.35</v>
      </c>
      <c r="G10" s="55" t="n">
        <v>0.049</v>
      </c>
      <c r="H10" s="29" t="inlineStr">
        <is>
          <t>≤ 0.5%</t>
        </is>
      </c>
      <c r="I10" s="47" t="inlineStr">
        <is>
          <t>MVP (Phase 1)</t>
        </is>
      </c>
      <c r="J10" s="52" t="inlineStr">
        <is>
          <t>Lower = Better</t>
        </is>
      </c>
      <c r="K10" s="30" t="inlineStr">
        <is>
          <t>Duplicates on email, phone, order ID etc. 0.5% tolerance.</t>
        </is>
      </c>
    </row>
    <row r="11" ht="30" customHeight="1">
      <c r="B11" s="21" t="n">
        <v>7</v>
      </c>
      <c r="C11" s="43" t="inlineStr">
        <is>
          <t>Near-Duplicate Candidate Check</t>
        </is>
      </c>
      <c r="D11" s="53" t="inlineStr">
        <is>
          <t>Uniqueness</t>
        </is>
      </c>
      <c r="E11" s="45" t="n">
        <v>0.14</v>
      </c>
      <c r="F11" s="45" t="n">
        <v>0.1</v>
      </c>
      <c r="G11" s="54" t="n">
        <v>0.014</v>
      </c>
      <c r="H11" s="24" t="inlineStr">
        <is>
          <t>Advisory</t>
        </is>
      </c>
      <c r="I11" s="47" t="inlineStr">
        <is>
          <t>MVP (Phase 1)</t>
        </is>
      </c>
      <c r="J11" s="48" t="inlineStr">
        <is>
          <t>Lower = Better</t>
        </is>
      </c>
      <c r="K11" s="26" t="inlineStr">
        <is>
          <t>Fuzzy/phonetic duplicate candidates. Advisory — no hard threshold.</t>
        </is>
      </c>
    </row>
    <row r="12" ht="30" customHeight="1">
      <c r="B12" s="27" t="n">
        <v>8</v>
      </c>
      <c r="C12" s="49" t="inlineStr">
        <is>
          <t>Data Type Conformance</t>
        </is>
      </c>
      <c r="D12" s="44" t="inlineStr">
        <is>
          <t>Validity</t>
        </is>
      </c>
      <c r="E12" s="51" t="n">
        <v>0.14</v>
      </c>
      <c r="F12" s="51" t="n">
        <v>0.3</v>
      </c>
      <c r="G12" s="55" t="n">
        <v>0.042</v>
      </c>
      <c r="H12" s="29" t="inlineStr">
        <is>
          <t>≤ 0.5%</t>
        </is>
      </c>
      <c r="I12" s="47" t="inlineStr">
        <is>
          <t>MVP (Phase 1)</t>
        </is>
      </c>
      <c r="J12" s="52" t="inlineStr">
        <is>
          <t>Lower = Better</t>
        </is>
      </c>
      <c r="K12" s="30" t="inlineStr">
        <is>
          <t>Highest validity weight — wrong types crash pipelines or silently coerce values.</t>
        </is>
      </c>
    </row>
    <row r="13" ht="30" customHeight="1">
      <c r="B13" s="21" t="n">
        <v>9</v>
      </c>
      <c r="C13" s="43" t="inlineStr">
        <is>
          <t>Allowed Value / Domain Check</t>
        </is>
      </c>
      <c r="D13" s="53" t="inlineStr">
        <is>
          <t>Validity</t>
        </is>
      </c>
      <c r="E13" s="45" t="n">
        <v>0.14</v>
      </c>
      <c r="F13" s="45" t="n">
        <v>0.25</v>
      </c>
      <c r="G13" s="55" t="n">
        <v>0.035</v>
      </c>
      <c r="H13" s="24">
        <f> 0</f>
        <v/>
      </c>
      <c r="I13" s="47" t="inlineStr">
        <is>
          <t>MVP (Phase 1)</t>
        </is>
      </c>
      <c r="J13" s="48" t="inlineStr">
        <is>
          <t>Lower = Better</t>
        </is>
      </c>
      <c r="K13" s="26" t="inlineStr">
        <is>
          <t>Values outside approved enum list. Zero tolerance — every violation is a data contract breach.</t>
        </is>
      </c>
    </row>
    <row r="14" ht="30" customHeight="1">
      <c r="B14" s="27" t="n">
        <v>10</v>
      </c>
      <c r="C14" s="49" t="inlineStr">
        <is>
          <t>Format Validation</t>
        </is>
      </c>
      <c r="D14" s="50" t="inlineStr">
        <is>
          <t>Validity</t>
        </is>
      </c>
      <c r="E14" s="51" t="n">
        <v>0.14</v>
      </c>
      <c r="F14" s="51" t="n">
        <v>0.2</v>
      </c>
      <c r="G14" s="56" t="n">
        <v>0.028</v>
      </c>
      <c r="H14" s="29" t="inlineStr">
        <is>
          <t>≤ 0.5%</t>
        </is>
      </c>
      <c r="I14" s="47" t="inlineStr">
        <is>
          <t>MVP (Phase 1)</t>
        </is>
      </c>
      <c r="J14" s="52" t="inlineStr">
        <is>
          <t>Lower = Better</t>
        </is>
      </c>
      <c r="K14" s="30" t="inlineStr">
        <is>
          <t>Email, phone, postcode regex patterns.</t>
        </is>
      </c>
    </row>
    <row r="15" ht="30" customHeight="1">
      <c r="B15" s="21" t="n">
        <v>11</v>
      </c>
      <c r="C15" s="43" t="inlineStr">
        <is>
          <t>Range Validation</t>
        </is>
      </c>
      <c r="D15" s="53" t="inlineStr">
        <is>
          <t>Validity</t>
        </is>
      </c>
      <c r="E15" s="45" t="n">
        <v>0.14</v>
      </c>
      <c r="F15" s="45" t="n">
        <v>0.15</v>
      </c>
      <c r="G15" s="54" t="n">
        <v>0.021</v>
      </c>
      <c r="H15" s="24" t="inlineStr">
        <is>
          <t>≤ 0.5%</t>
        </is>
      </c>
      <c r="I15" s="47" t="inlineStr">
        <is>
          <t>MVP (Phase 1)</t>
        </is>
      </c>
      <c r="J15" s="48" t="inlineStr">
        <is>
          <t>Lower = Better</t>
        </is>
      </c>
      <c r="K15" s="26" t="inlineStr">
        <is>
          <t>Numeric or date values outside expected min/max bounds.</t>
        </is>
      </c>
    </row>
    <row r="16" ht="30" customHeight="1">
      <c r="B16" s="27" t="n">
        <v>12</v>
      </c>
      <c r="C16" s="49" t="inlineStr">
        <is>
          <t>Negative Value Check</t>
        </is>
      </c>
      <c r="D16" s="50" t="inlineStr">
        <is>
          <t>Validity</t>
        </is>
      </c>
      <c r="E16" s="51" t="n">
        <v>0.14</v>
      </c>
      <c r="F16" s="51" t="n">
        <v>0.1</v>
      </c>
      <c r="G16" s="56" t="n">
        <v>0.014</v>
      </c>
      <c r="H16" s="29">
        <f> 0</f>
        <v/>
      </c>
      <c r="I16" s="47" t="inlineStr">
        <is>
          <t>MVP (Phase 1)</t>
        </is>
      </c>
      <c r="J16" s="52" t="inlineStr">
        <is>
          <t>Lower = Better</t>
        </is>
      </c>
      <c r="K16" s="30" t="inlineStr">
        <is>
          <t>Non-negative measures (revenue, quantity) found below zero.</t>
        </is>
      </c>
    </row>
    <row r="17" ht="30" customHeight="1">
      <c r="B17" s="21" t="n">
        <v>13</v>
      </c>
      <c r="C17" s="43" t="inlineStr">
        <is>
          <t>Cross-Field Consistency</t>
        </is>
      </c>
      <c r="D17" s="44" t="inlineStr">
        <is>
          <t>Consistency</t>
        </is>
      </c>
      <c r="E17" s="45" t="n">
        <v>0.08</v>
      </c>
      <c r="F17" s="45" t="n">
        <v>0.35</v>
      </c>
      <c r="G17" s="54" t="n">
        <v>0.028</v>
      </c>
      <c r="H17" s="24">
        <f> 0</f>
        <v/>
      </c>
      <c r="I17" s="32" t="inlineStr">
        <is>
          <t>Phase 2</t>
        </is>
      </c>
      <c r="J17" s="48" t="inlineStr">
        <is>
          <t>Lower = Better</t>
        </is>
      </c>
      <c r="K17" s="26" t="inlineStr">
        <is>
          <t>Logical consistency within a row (e.g. end_date must be after start_date).</t>
        </is>
      </c>
    </row>
    <row r="18" ht="30" customHeight="1">
      <c r="B18" s="27" t="n">
        <v>14</v>
      </c>
      <c r="C18" s="49" t="inlineStr">
        <is>
          <t>Cross-Table Consistency</t>
        </is>
      </c>
      <c r="D18" s="50" t="inlineStr">
        <is>
          <t>Consistency</t>
        </is>
      </c>
      <c r="E18" s="51" t="n">
        <v>0.08</v>
      </c>
      <c r="F18" s="51" t="n">
        <v>0.35</v>
      </c>
      <c r="G18" s="56" t="n">
        <v>0.028</v>
      </c>
      <c r="H18" s="29" t="inlineStr">
        <is>
          <t>≤ 0.5%</t>
        </is>
      </c>
      <c r="I18" s="32" t="inlineStr">
        <is>
          <t>Phase 2</t>
        </is>
      </c>
      <c r="J18" s="52" t="inlineStr">
        <is>
          <t>Lower = Better</t>
        </is>
      </c>
      <c r="K18" s="30" t="inlineStr">
        <is>
          <t>Same business entity attributes conflicting across tables.</t>
        </is>
      </c>
    </row>
    <row r="19" ht="30" customHeight="1">
      <c r="B19" s="21" t="n">
        <v>15</v>
      </c>
      <c r="C19" s="43" t="inlineStr">
        <is>
          <t>Unit / Currency Consistency</t>
        </is>
      </c>
      <c r="D19" s="53" t="inlineStr">
        <is>
          <t>Consistency</t>
        </is>
      </c>
      <c r="E19" s="45" t="n">
        <v>0.08</v>
      </c>
      <c r="F19" s="45" t="n">
        <v>0.2</v>
      </c>
      <c r="G19" s="54" t="n">
        <v>0.016</v>
      </c>
      <c r="H19" s="24">
        <f> 0</f>
        <v/>
      </c>
      <c r="I19" s="32" t="inlineStr">
        <is>
          <t>Phase 2</t>
        </is>
      </c>
      <c r="J19" s="48" t="inlineStr">
        <is>
          <t>Lower = Better</t>
        </is>
      </c>
      <c r="K19" s="26" t="inlineStr">
        <is>
          <t>Unexpected mix of units, currencies, or measurement scales.</t>
        </is>
      </c>
    </row>
    <row r="20" ht="30" customHeight="1">
      <c r="B20" s="27" t="n">
        <v>16</v>
      </c>
      <c r="C20" s="49" t="inlineStr">
        <is>
          <t>Standardisation Check</t>
        </is>
      </c>
      <c r="D20" s="50" t="inlineStr">
        <is>
          <t>Consistency</t>
        </is>
      </c>
      <c r="E20" s="51" t="n">
        <v>0.08</v>
      </c>
      <c r="F20" s="51" t="n">
        <v>0.1</v>
      </c>
      <c r="G20" s="56" t="n">
        <v>0.008</v>
      </c>
      <c r="H20" s="29" t="inlineStr">
        <is>
          <t>≤ 1%</t>
        </is>
      </c>
      <c r="I20" s="32" t="inlineStr">
        <is>
          <t>Phase 2</t>
        </is>
      </c>
      <c r="J20" s="52" t="inlineStr">
        <is>
          <t>Lower = Better</t>
        </is>
      </c>
      <c r="K20" s="30" t="inlineStr">
        <is>
          <t>Inconsistent labels for the same concept (e.g. 'USA' vs 'US' vs 'United States').</t>
        </is>
      </c>
    </row>
    <row r="21" ht="30" customHeight="1">
      <c r="B21" s="21" t="n">
        <v>17</v>
      </c>
      <c r="C21" s="43" t="inlineStr">
        <is>
          <t>Foreign Key Violation Check</t>
        </is>
      </c>
      <c r="D21" s="44" t="inlineStr">
        <is>
          <t>Integrity</t>
        </is>
      </c>
      <c r="E21" s="45" t="n">
        <v>0.12</v>
      </c>
      <c r="F21" s="45" t="n">
        <v>0.5</v>
      </c>
      <c r="G21" s="46" t="n">
        <v>0.06</v>
      </c>
      <c r="H21" s="24">
        <f> 0</f>
        <v/>
      </c>
      <c r="I21" s="47" t="inlineStr">
        <is>
          <t>MVP (Phase 1)</t>
        </is>
      </c>
      <c r="J21" s="48" t="inlineStr">
        <is>
          <t>Lower = Better</t>
        </is>
      </c>
      <c r="K21" s="26" t="inlineStr">
        <is>
          <t>Highest integrity weight — child rows without a matching parent break every join downstream.</t>
        </is>
      </c>
    </row>
    <row r="22" ht="30" customHeight="1">
      <c r="B22" s="27" t="n">
        <v>18</v>
      </c>
      <c r="C22" s="49" t="inlineStr">
        <is>
          <t>Orphan Record Check</t>
        </is>
      </c>
      <c r="D22" s="50" t="inlineStr">
        <is>
          <t>Integrity</t>
        </is>
      </c>
      <c r="E22" s="51" t="n">
        <v>0.12</v>
      </c>
      <c r="F22" s="51" t="n">
        <v>0.35</v>
      </c>
      <c r="G22" s="55" t="n">
        <v>0.042</v>
      </c>
      <c r="H22" s="29">
        <f> 0</f>
        <v/>
      </c>
      <c r="I22" s="47" t="inlineStr">
        <is>
          <t>MVP (Phase 1)</t>
        </is>
      </c>
      <c r="J22" s="52" t="inlineStr">
        <is>
          <t>Lower = Better</t>
        </is>
      </c>
      <c r="K22" s="30" t="inlineStr">
        <is>
          <t>Unlinked rows that should map to a master or dimension table.</t>
        </is>
      </c>
    </row>
    <row r="23" ht="30" customHeight="1">
      <c r="B23" s="21" t="n">
        <v>19</v>
      </c>
      <c r="C23" s="43" t="inlineStr">
        <is>
          <t>Broken Join Coverage</t>
        </is>
      </c>
      <c r="D23" s="53" t="inlineStr">
        <is>
          <t>Integrity</t>
        </is>
      </c>
      <c r="E23" s="45" t="n">
        <v>0.12</v>
      </c>
      <c r="F23" s="45" t="n">
        <v>0.15</v>
      </c>
      <c r="G23" s="54" t="n">
        <v>0.018</v>
      </c>
      <c r="H23" s="24" t="inlineStr">
        <is>
          <t>≥ 99%</t>
        </is>
      </c>
      <c r="I23" s="47" t="inlineStr">
        <is>
          <t>MVP (Phase 1)</t>
        </is>
      </c>
      <c r="J23" s="48" t="inlineStr">
        <is>
          <t>Higher = Better</t>
        </is>
      </c>
      <c r="K23" s="26" t="inlineStr">
        <is>
          <t>Expected join coverage falls below target. Softer version of FK check.</t>
        </is>
      </c>
    </row>
    <row r="24" ht="30" customHeight="1">
      <c r="B24" s="27" t="n">
        <v>20</v>
      </c>
      <c r="C24" s="49" t="inlineStr">
        <is>
          <t>Freshness Lag Hours</t>
        </is>
      </c>
      <c r="D24" s="44" t="inlineStr">
        <is>
          <t>Freshness</t>
        </is>
      </c>
      <c r="E24" s="51" t="n">
        <v>0.09</v>
      </c>
      <c r="F24" s="51" t="n">
        <v>0.5</v>
      </c>
      <c r="G24" s="55" t="n">
        <v>0.045</v>
      </c>
      <c r="H24" s="29" t="inlineStr">
        <is>
          <t>≤ SLA</t>
        </is>
      </c>
      <c r="I24" s="47" t="inlineStr">
        <is>
          <t>MVP (Phase 1)</t>
        </is>
      </c>
      <c r="J24" s="52" t="inlineStr">
        <is>
          <t>Lower = Better</t>
        </is>
      </c>
      <c r="K24" s="30" t="inlineStr">
        <is>
          <t>Hours since latest update vs. configured SLA. Primary freshness metric.</t>
        </is>
      </c>
    </row>
    <row r="25" ht="30" customHeight="1">
      <c r="B25" s="21" t="n">
        <v>21</v>
      </c>
      <c r="C25" s="43" t="inlineStr">
        <is>
          <t>Stale Table Check</t>
        </is>
      </c>
      <c r="D25" s="53" t="inlineStr">
        <is>
          <t>Freshness</t>
        </is>
      </c>
      <c r="E25" s="45" t="n">
        <v>0.09</v>
      </c>
      <c r="F25" s="45" t="n">
        <v>0.3</v>
      </c>
      <c r="G25" s="54" t="n">
        <v>0.027</v>
      </c>
      <c r="H25" s="24">
        <f> 0</f>
        <v/>
      </c>
      <c r="I25" s="47" t="inlineStr">
        <is>
          <t>MVP (Phase 1)</t>
        </is>
      </c>
      <c r="J25" s="48" t="inlineStr">
        <is>
          <t>Lower = Better</t>
        </is>
      </c>
      <c r="K25" s="26" t="inlineStr">
        <is>
          <t>Binary flag — table has not been updated within the configured window.</t>
        </is>
      </c>
    </row>
    <row r="26" ht="30" customHeight="1">
      <c r="B26" s="27" t="n">
        <v>22</v>
      </c>
      <c r="C26" s="49" t="inlineStr">
        <is>
          <t>Late-Arriving Data Check</t>
        </is>
      </c>
      <c r="D26" s="50" t="inlineStr">
        <is>
          <t>Freshness</t>
        </is>
      </c>
      <c r="E26" s="51" t="n">
        <v>0.09</v>
      </c>
      <c r="F26" s="51" t="n">
        <v>0.2</v>
      </c>
      <c r="G26" s="56" t="n">
        <v>0.018</v>
      </c>
      <c r="H26" s="29" t="inlineStr">
        <is>
          <t>≤ 1%</t>
        </is>
      </c>
      <c r="I26" s="47" t="inlineStr">
        <is>
          <t>MVP (Phase 1)</t>
        </is>
      </c>
      <c r="J26" s="52" t="inlineStr">
        <is>
          <t>Lower = Better</t>
        </is>
      </c>
      <c r="K26" s="30" t="inlineStr">
        <is>
          <t>Records that arrived later than the allowed delay after their event time.</t>
        </is>
      </c>
    </row>
    <row r="27" ht="30" customHeight="1">
      <c r="B27" s="21" t="n">
        <v>23</v>
      </c>
      <c r="C27" s="43" t="inlineStr">
        <is>
          <t>Row Count Volume Change</t>
        </is>
      </c>
      <c r="D27" s="44" t="inlineStr">
        <is>
          <t>Volume</t>
        </is>
      </c>
      <c r="E27" s="45" t="n">
        <v>0.05</v>
      </c>
      <c r="F27" s="45" t="n">
        <v>0.65</v>
      </c>
      <c r="G27" s="55" t="n">
        <v>0.0325</v>
      </c>
      <c r="H27" s="24" t="inlineStr">
        <is>
          <t>≤ ±30%</t>
        </is>
      </c>
      <c r="I27" s="47" t="inlineStr">
        <is>
          <t>MVP (Phase 1)</t>
        </is>
      </c>
      <c r="J27" s="48" t="inlineStr">
        <is>
          <t>Lower = Better</t>
        </is>
      </c>
      <c r="K27" s="26" t="inlineStr">
        <is>
          <t>Highest volume weight — unexpected day-over-day row count change is the leading pipeline failure indicator.</t>
        </is>
      </c>
    </row>
    <row r="28" ht="30" customHeight="1">
      <c r="B28" s="27" t="n">
        <v>24</v>
      </c>
      <c r="C28" s="49" t="inlineStr">
        <is>
          <t>Missing Partition / Date Slice</t>
        </is>
      </c>
      <c r="D28" s="50" t="inlineStr">
        <is>
          <t>Volume</t>
        </is>
      </c>
      <c r="E28" s="51" t="n">
        <v>0.05</v>
      </c>
      <c r="F28" s="51" t="n">
        <v>0.35</v>
      </c>
      <c r="G28" s="56" t="n">
        <v>0.0175</v>
      </c>
      <c r="H28" s="29">
        <f> 0</f>
        <v/>
      </c>
      <c r="I28" s="47" t="inlineStr">
        <is>
          <t>MVP (Phase 1)</t>
        </is>
      </c>
      <c r="J28" s="52" t="inlineStr">
        <is>
          <t>Lower = Better</t>
        </is>
      </c>
      <c r="K28" s="30" t="inlineStr">
        <is>
          <t>Expected partition or date slice not loaded.</t>
        </is>
      </c>
    </row>
    <row r="29" ht="30" customHeight="1">
      <c r="B29" s="21" t="n">
        <v>25</v>
      </c>
      <c r="C29" s="43" t="inlineStr">
        <is>
          <t>Source-to-Target Reconciliation</t>
        </is>
      </c>
      <c r="D29" s="44" t="inlineStr">
        <is>
          <t>Accuracy</t>
        </is>
      </c>
      <c r="E29" s="45" t="n">
        <v>0.1</v>
      </c>
      <c r="F29" s="45" t="n">
        <v>0.45</v>
      </c>
      <c r="G29" s="55" t="n">
        <v>0.04500000000000001</v>
      </c>
      <c r="H29" s="24" t="inlineStr">
        <is>
          <t>≤ 0.5%</t>
        </is>
      </c>
      <c r="I29" s="32" t="inlineStr">
        <is>
          <t>Phase 2</t>
        </is>
      </c>
      <c r="J29" s="48" t="inlineStr">
        <is>
          <t>Lower = Better</t>
        </is>
      </c>
      <c r="K29" s="26" t="inlineStr">
        <is>
          <t>Target totals reconcile to source/control totals. Highest accuracy weight.</t>
        </is>
      </c>
    </row>
    <row r="30" ht="30" customHeight="1">
      <c r="B30" s="27" t="n">
        <v>26</v>
      </c>
      <c r="C30" s="49" t="inlineStr">
        <is>
          <t>Business Rule Validation</t>
        </is>
      </c>
      <c r="D30" s="50" t="inlineStr">
        <is>
          <t>Accuracy</t>
        </is>
      </c>
      <c r="E30" s="51" t="n">
        <v>0.1</v>
      </c>
      <c r="F30" s="51" t="n">
        <v>0.35</v>
      </c>
      <c r="G30" s="55" t="n">
        <v>0.035</v>
      </c>
      <c r="H30" s="29" t="inlineStr">
        <is>
          <t>≤ 0.5%</t>
        </is>
      </c>
      <c r="I30" s="32" t="inlineStr">
        <is>
          <t>Phase 2</t>
        </is>
      </c>
      <c r="J30" s="52" t="inlineStr">
        <is>
          <t>Lower = Better</t>
        </is>
      </c>
      <c r="K30" s="30" t="inlineStr">
        <is>
          <t>Derived business logic holds (e.g. revenue = price × quantity).</t>
        </is>
      </c>
    </row>
    <row r="31" ht="30" customHeight="1">
      <c r="B31" s="21" t="n">
        <v>27</v>
      </c>
      <c r="C31" s="43" t="inlineStr">
        <is>
          <t>Reference Data Validation</t>
        </is>
      </c>
      <c r="D31" s="53" t="inlineStr">
        <is>
          <t>Accuracy</t>
        </is>
      </c>
      <c r="E31" s="45" t="n">
        <v>0.1</v>
      </c>
      <c r="F31" s="45" t="n">
        <v>0.2</v>
      </c>
      <c r="G31" s="54" t="n">
        <v>0.02</v>
      </c>
      <c r="H31" s="24" t="inlineStr">
        <is>
          <t>≤ 0.5%</t>
        </is>
      </c>
      <c r="I31" s="32" t="inlineStr">
        <is>
          <t>Phase 2</t>
        </is>
      </c>
      <c r="J31" s="48" t="inlineStr">
        <is>
          <t>Lower = Better</t>
        </is>
      </c>
      <c r="K31" s="26" t="inlineStr">
        <is>
          <t>Values align to trusted reference or master data.</t>
        </is>
      </c>
    </row>
    <row r="32" ht="30" customHeight="1">
      <c r="B32" s="27" t="n">
        <v>28</v>
      </c>
      <c r="C32" s="49" t="inlineStr">
        <is>
          <t>Outlier Detection</t>
        </is>
      </c>
      <c r="D32" s="44" t="inlineStr">
        <is>
          <t>Anomaly</t>
        </is>
      </c>
      <c r="E32" s="51" t="n">
        <v>0.03</v>
      </c>
      <c r="F32" s="51" t="n">
        <v>0.6</v>
      </c>
      <c r="G32" s="56" t="n">
        <v>0.018</v>
      </c>
      <c r="H32" s="29" t="inlineStr">
        <is>
          <t>Advisory</t>
        </is>
      </c>
      <c r="I32" s="32" t="inlineStr">
        <is>
          <t>Phase 2</t>
        </is>
      </c>
      <c r="J32" s="52" t="inlineStr">
        <is>
          <t>Lower = Better</t>
        </is>
      </c>
      <c r="K32" s="30" t="inlineStr">
        <is>
          <t>Extreme values outside Z-score bounds. Advisory — no hard threshold.</t>
        </is>
      </c>
    </row>
    <row r="33" ht="30" customHeight="1">
      <c r="B33" s="21" t="n">
        <v>29</v>
      </c>
      <c r="C33" s="43" t="inlineStr">
        <is>
          <t>Distribution Drift Check</t>
        </is>
      </c>
      <c r="D33" s="53" t="inlineStr">
        <is>
          <t>Anomaly</t>
        </is>
      </c>
      <c r="E33" s="45" t="n">
        <v>0.03</v>
      </c>
      <c r="F33" s="45" t="n">
        <v>0.4</v>
      </c>
      <c r="G33" s="54" t="n">
        <v>0.012</v>
      </c>
      <c r="H33" s="24" t="inlineStr">
        <is>
          <t>Advisory</t>
        </is>
      </c>
      <c r="I33" s="32" t="inlineStr">
        <is>
          <t>Phase 2</t>
        </is>
      </c>
      <c r="J33" s="48" t="inlineStr">
        <is>
          <t>Lower = Better</t>
        </is>
      </c>
      <c r="K33" s="26" t="inlineStr">
        <is>
          <t>Distribution materially shifts from baseline period (PSI/KS). Advisory.</t>
        </is>
      </c>
    </row>
    <row r="34" ht="30" customHeight="1">
      <c r="B34" s="27" t="n">
        <v>30</v>
      </c>
      <c r="C34" s="49" t="inlineStr">
        <is>
          <t>Schema Drift Detection</t>
        </is>
      </c>
      <c r="D34" s="44" t="inlineStr">
        <is>
          <t>Schema</t>
        </is>
      </c>
      <c r="E34" s="51" t="n">
        <v>0.02</v>
      </c>
      <c r="F34" s="51" t="n">
        <v>1</v>
      </c>
      <c r="G34" s="56" t="n">
        <v>0.02</v>
      </c>
      <c r="H34" s="29">
        <f> 0</f>
        <v/>
      </c>
      <c r="I34" s="32" t="inlineStr">
        <is>
          <t>Phase 2</t>
        </is>
      </c>
      <c r="J34" s="52" t="inlineStr">
        <is>
          <t>Lower = Better</t>
        </is>
      </c>
      <c r="K34" s="30" t="inlineStr">
        <is>
          <t>Columns added, dropped, renamed, or type-changed vs. baseline snapshot.</t>
        </is>
      </c>
    </row>
    <row r="35" ht="30" customHeight="1">
      <c r="B35" s="21" t="n">
        <v>31</v>
      </c>
      <c r="C35" s="43" t="inlineStr">
        <is>
          <t>Metadata Completeness</t>
        </is>
      </c>
      <c r="D35" s="44" t="inlineStr">
        <is>
          <t>Metadata</t>
        </is>
      </c>
      <c r="E35" s="45" t="n">
        <v>0.01</v>
      </c>
      <c r="F35" s="45" t="n">
        <v>1</v>
      </c>
      <c r="G35" s="54" t="n">
        <v>0.01</v>
      </c>
      <c r="H35" s="24" t="inlineStr">
        <is>
          <t>≤ 5%</t>
        </is>
      </c>
      <c r="I35" s="35" t="inlineStr">
        <is>
          <t>Later</t>
        </is>
      </c>
      <c r="J35" s="48" t="inlineStr">
        <is>
          <t>Lower = Better</t>
        </is>
      </c>
      <c r="K35" s="26" t="inlineStr">
        <is>
          <t>Columns or tables missing description, owner, tags, or classification.</t>
        </is>
      </c>
    </row>
    <row r="36" ht="30" customHeight="1">
      <c r="B36" s="27" t="n">
        <v>32</v>
      </c>
      <c r="C36" s="49" t="inlineStr">
        <is>
          <t>Pipeline Failure Indicator</t>
        </is>
      </c>
      <c r="D36" s="44" t="inlineStr">
        <is>
          <t>Pipeline</t>
        </is>
      </c>
      <c r="E36" s="51" t="n">
        <v>0.01</v>
      </c>
      <c r="F36" s="51" t="n">
        <v>1</v>
      </c>
      <c r="G36" s="56" t="n">
        <v>0.01</v>
      </c>
      <c r="H36" s="29" t="inlineStr">
        <is>
          <t>≤ 1%</t>
        </is>
      </c>
      <c r="I36" s="32" t="inlineStr">
        <is>
          <t>Phase 2</t>
        </is>
      </c>
      <c r="J36" s="52" t="inlineStr">
        <is>
          <t>Lower = Better</t>
        </is>
      </c>
      <c r="K36" s="30" t="inlineStr">
        <is>
          <t>Recent failed loads or jobs associated with this dataset.</t>
        </is>
      </c>
    </row>
    <row r="37" ht="30" customHeight="1">
      <c r="B37" s="21" t="n">
        <v>33</v>
      </c>
      <c r="C37" s="43" t="inlineStr">
        <is>
          <t>Timestamp Sequence Integrity</t>
        </is>
      </c>
      <c r="D37" s="44" t="inlineStr">
        <is>
          <t>Time_Series</t>
        </is>
      </c>
      <c r="E37" s="45" t="n">
        <v>0.01</v>
      </c>
      <c r="F37" s="45" t="n">
        <v>1</v>
      </c>
      <c r="G37" s="54" t="n">
        <v>0.01</v>
      </c>
      <c r="H37" s="24" t="inlineStr">
        <is>
          <t>≤ 0.5%</t>
        </is>
      </c>
      <c r="I37" s="35" t="inlineStr">
        <is>
          <t>Later</t>
        </is>
      </c>
      <c r="J37" s="48" t="inlineStr">
        <is>
          <t>Lower = Better</t>
        </is>
      </c>
      <c r="K37" s="26" t="inlineStr">
        <is>
          <t>Duplicate, missing, or non-monotonic timestamps in time-series data.</t>
        </is>
      </c>
    </row>
    <row r="38" ht="20" customHeight="1">
      <c r="B38" s="36" t="inlineStr"/>
      <c r="C38" s="57" t="inlineStr">
        <is>
          <t>TOTAL (all 33 checks)</t>
        </is>
      </c>
      <c r="D38" s="36" t="inlineStr"/>
      <c r="E38" s="36" t="inlineStr"/>
      <c r="F38" s="36" t="inlineStr"/>
      <c r="G38" s="58" t="n">
        <v>1</v>
      </c>
      <c r="H38" s="36" t="inlineStr"/>
      <c r="I38" s="36" t="inlineStr"/>
      <c r="J38" s="36" t="inlineStr"/>
      <c r="K38" s="41" t="inlineStr">
        <is>
          <t>✓  Verified: effective weights sum to exactly 1.00</t>
        </is>
      </c>
    </row>
  </sheetData>
  <mergeCells count="2">
    <mergeCell ref="B1:K1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C3AED"/>
    <outlinePr summaryBelow="1" summaryRight="1"/>
    <pageSetUpPr/>
  </sheetPr>
  <dimension ref="B1:G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32" customWidth="1" min="3" max="3"/>
    <col width="16" customWidth="1" min="4" max="4"/>
    <col width="14" customWidth="1" min="5" max="5"/>
    <col width="14" customWidth="1" min="6" max="6"/>
    <col width="14" customWidth="1" min="7" max="7"/>
    <col width="3" customWidth="1" min="8" max="8"/>
  </cols>
  <sheetData>
    <row r="1" ht="32" customHeight="1">
      <c r="B1" s="19" t="inlineStr">
        <is>
          <t>Original Spec Weights vs. Redesigned Weights — Side-by-Side</t>
        </is>
      </c>
    </row>
    <row r="2" ht="18" customHeight="1">
      <c r="B2" s="20" t="inlineStr">
        <is>
          <t>Original weights (flat, sum = 1.37) vs. redesigned effective weights (two-level, sum = 1.00).</t>
        </is>
      </c>
    </row>
    <row r="3" ht="30" customHeight="1">
      <c r="B3" s="59" t="inlineStr">
        <is>
          <t>⚠  The original spec weights sum to 1.37 — this makes the composite score mathematically invalid. A perfect dataset would score 137/100. The redesigned weights fix this while preserving the relative priority intent of the original.</t>
        </is>
      </c>
    </row>
    <row r="4" ht="10" customHeight="1"/>
    <row r="5" ht="30" customHeight="1">
      <c r="B5" s="42" t="inlineStr">
        <is>
          <t>ID</t>
        </is>
      </c>
      <c r="C5" s="42" t="inlineStr">
        <is>
          <t>Check Name</t>
        </is>
      </c>
      <c r="D5" s="42" t="inlineStr">
        <is>
          <t>Dimension</t>
        </is>
      </c>
      <c r="E5" s="42" t="inlineStr">
        <is>
          <t>Original Weight
(spec, flat)</t>
        </is>
      </c>
      <c r="F5" s="42" t="inlineStr">
        <is>
          <t>Redesigned Effective
Weight</t>
        </is>
      </c>
      <c r="G5" s="42" t="inlineStr">
        <is>
          <t>Change</t>
        </is>
      </c>
    </row>
    <row r="6" ht="26" customHeight="1">
      <c r="B6" s="27" t="n">
        <v>1</v>
      </c>
      <c r="C6" s="60" t="inlineStr">
        <is>
          <t>Null Ratio by Column</t>
        </is>
      </c>
      <c r="D6" s="50" t="inlineStr">
        <is>
          <t>Completeness</t>
        </is>
      </c>
      <c r="E6" s="61" t="n">
        <v>0.05</v>
      </c>
      <c r="F6" s="62" t="n">
        <v>0.06</v>
      </c>
      <c r="G6" s="47" t="inlineStr">
        <is>
          <t>▲  +0.0100</t>
        </is>
      </c>
    </row>
    <row r="7" ht="26" customHeight="1">
      <c r="B7" s="21" t="n">
        <v>2</v>
      </c>
      <c r="C7" s="9" t="inlineStr">
        <is>
          <t>Null Ratio in Critical Columns</t>
        </is>
      </c>
      <c r="D7" s="53" t="inlineStr">
        <is>
          <t>Completeness</t>
        </is>
      </c>
      <c r="E7" s="61" t="n">
        <v>0.08</v>
      </c>
      <c r="F7" s="62" t="n">
        <v>0.08000000000000002</v>
      </c>
      <c r="G7" s="35" t="inlineStr">
        <is>
          <t>~  No change</t>
        </is>
      </c>
    </row>
    <row r="8" ht="26" customHeight="1">
      <c r="B8" s="27" t="n">
        <v>3</v>
      </c>
      <c r="C8" s="60" t="inlineStr">
        <is>
          <t>Empty Row Check</t>
        </is>
      </c>
      <c r="D8" s="50" t="inlineStr">
        <is>
          <t>Completeness</t>
        </is>
      </c>
      <c r="E8" s="61" t="n">
        <v>0.03</v>
      </c>
      <c r="F8" s="62" t="n">
        <v>0.02</v>
      </c>
      <c r="G8" s="63" t="inlineStr">
        <is>
          <t>▼  -0.0100</t>
        </is>
      </c>
    </row>
    <row r="9" ht="26" customHeight="1">
      <c r="B9" s="21" t="n">
        <v>4</v>
      </c>
      <c r="C9" s="9" t="inlineStr">
        <is>
          <t>Conditional Completeness</t>
        </is>
      </c>
      <c r="D9" s="53" t="inlineStr">
        <is>
          <t>Completeness</t>
        </is>
      </c>
      <c r="E9" s="61" t="n">
        <v>0.04</v>
      </c>
      <c r="F9" s="62" t="n">
        <v>0.04000000000000001</v>
      </c>
      <c r="G9" s="35" t="inlineStr">
        <is>
          <t>~  No change</t>
        </is>
      </c>
    </row>
    <row r="10" ht="26" customHeight="1">
      <c r="B10" s="27" t="n">
        <v>5</v>
      </c>
      <c r="C10" s="60" t="inlineStr">
        <is>
          <t>PK Duplicate Ratio</t>
        </is>
      </c>
      <c r="D10" s="50" t="inlineStr">
        <is>
          <t>Uniqueness</t>
        </is>
      </c>
      <c r="E10" s="61" t="n">
        <v>0.08</v>
      </c>
      <c r="F10" s="62" t="n">
        <v>0.07700000000000001</v>
      </c>
      <c r="G10" s="63" t="inlineStr">
        <is>
          <t>▼  -0.0030</t>
        </is>
      </c>
    </row>
    <row r="11" ht="26" customHeight="1">
      <c r="B11" s="21" t="n">
        <v>6</v>
      </c>
      <c r="C11" s="9" t="inlineStr">
        <is>
          <t>Business Key Duplicate Ratio</t>
        </is>
      </c>
      <c r="D11" s="53" t="inlineStr">
        <is>
          <t>Uniqueness</t>
        </is>
      </c>
      <c r="E11" s="61" t="n">
        <v>0.05</v>
      </c>
      <c r="F11" s="62" t="n">
        <v>0.049</v>
      </c>
      <c r="G11" s="63" t="inlineStr">
        <is>
          <t>▼  -0.0010</t>
        </is>
      </c>
    </row>
    <row r="12" ht="26" customHeight="1">
      <c r="B12" s="27" t="n">
        <v>7</v>
      </c>
      <c r="C12" s="60" t="inlineStr">
        <is>
          <t>Near-Duplicate Candidate Check</t>
        </is>
      </c>
      <c r="D12" s="50" t="inlineStr">
        <is>
          <t>Uniqueness</t>
        </is>
      </c>
      <c r="E12" s="61" t="n">
        <v>0.02</v>
      </c>
      <c r="F12" s="62" t="n">
        <v>0.014</v>
      </c>
      <c r="G12" s="63" t="inlineStr">
        <is>
          <t>▼  -0.0060</t>
        </is>
      </c>
    </row>
    <row r="13" ht="26" customHeight="1">
      <c r="B13" s="21" t="n">
        <v>8</v>
      </c>
      <c r="C13" s="9" t="inlineStr">
        <is>
          <t>Data Type Conformance</t>
        </is>
      </c>
      <c r="D13" s="53" t="inlineStr">
        <is>
          <t>Validity</t>
        </is>
      </c>
      <c r="E13" s="61" t="n">
        <v>0.04</v>
      </c>
      <c r="F13" s="62" t="n">
        <v>0.042</v>
      </c>
      <c r="G13" s="47" t="inlineStr">
        <is>
          <t>▲  +0.0020</t>
        </is>
      </c>
    </row>
    <row r="14" ht="26" customHeight="1">
      <c r="B14" s="27" t="n">
        <v>9</v>
      </c>
      <c r="C14" s="60" t="inlineStr">
        <is>
          <t>Allowed Value / Domain Check</t>
        </is>
      </c>
      <c r="D14" s="50" t="inlineStr">
        <is>
          <t>Validity</t>
        </is>
      </c>
      <c r="E14" s="61" t="n">
        <v>0.04</v>
      </c>
      <c r="F14" s="62" t="n">
        <v>0.035</v>
      </c>
      <c r="G14" s="63" t="inlineStr">
        <is>
          <t>▼  -0.0050</t>
        </is>
      </c>
    </row>
    <row r="15" ht="26" customHeight="1">
      <c r="B15" s="21" t="n">
        <v>10</v>
      </c>
      <c r="C15" s="9" t="inlineStr">
        <is>
          <t>Format Validation</t>
        </is>
      </c>
      <c r="D15" s="53" t="inlineStr">
        <is>
          <t>Validity</t>
        </is>
      </c>
      <c r="E15" s="61" t="n">
        <v>0.04</v>
      </c>
      <c r="F15" s="62" t="n">
        <v>0.028</v>
      </c>
      <c r="G15" s="63" t="inlineStr">
        <is>
          <t>▼  -0.0120</t>
        </is>
      </c>
    </row>
    <row r="16" ht="26" customHeight="1">
      <c r="B16" s="27" t="n">
        <v>11</v>
      </c>
      <c r="C16" s="60" t="inlineStr">
        <is>
          <t>Range Validation</t>
        </is>
      </c>
      <c r="D16" s="50" t="inlineStr">
        <is>
          <t>Validity</t>
        </is>
      </c>
      <c r="E16" s="61" t="n">
        <v>0.04</v>
      </c>
      <c r="F16" s="62" t="n">
        <v>0.021</v>
      </c>
      <c r="G16" s="63" t="inlineStr">
        <is>
          <t>▼  -0.0190</t>
        </is>
      </c>
    </row>
    <row r="17" ht="26" customHeight="1">
      <c r="B17" s="21" t="n">
        <v>12</v>
      </c>
      <c r="C17" s="9" t="inlineStr">
        <is>
          <t>Negative Value Check</t>
        </is>
      </c>
      <c r="D17" s="53" t="inlineStr">
        <is>
          <t>Validity</t>
        </is>
      </c>
      <c r="E17" s="61" t="n">
        <v>0.04</v>
      </c>
      <c r="F17" s="62" t="n">
        <v>0.014</v>
      </c>
      <c r="G17" s="63" t="inlineStr">
        <is>
          <t>▼  -0.0260</t>
        </is>
      </c>
    </row>
    <row r="18" ht="26" customHeight="1">
      <c r="B18" s="27" t="n">
        <v>13</v>
      </c>
      <c r="C18" s="60" t="inlineStr">
        <is>
          <t>Cross-Field Consistency</t>
        </is>
      </c>
      <c r="D18" s="50" t="inlineStr">
        <is>
          <t>Consistency</t>
        </is>
      </c>
      <c r="E18" s="61" t="n">
        <v>0.05</v>
      </c>
      <c r="F18" s="62" t="n">
        <v>0.028</v>
      </c>
      <c r="G18" s="63" t="inlineStr">
        <is>
          <t>▼  -0.0220</t>
        </is>
      </c>
    </row>
    <row r="19" ht="26" customHeight="1">
      <c r="B19" s="21" t="n">
        <v>14</v>
      </c>
      <c r="C19" s="9" t="inlineStr">
        <is>
          <t>Cross-Table Consistency</t>
        </is>
      </c>
      <c r="D19" s="53" t="inlineStr">
        <is>
          <t>Consistency</t>
        </is>
      </c>
      <c r="E19" s="61" t="n">
        <v>0.05</v>
      </c>
      <c r="F19" s="62" t="n">
        <v>0.028</v>
      </c>
      <c r="G19" s="63" t="inlineStr">
        <is>
          <t>▼  -0.0220</t>
        </is>
      </c>
    </row>
    <row r="20" ht="26" customHeight="1">
      <c r="B20" s="27" t="n">
        <v>15</v>
      </c>
      <c r="C20" s="60" t="inlineStr">
        <is>
          <t>Unit / Currency Consistency</t>
        </is>
      </c>
      <c r="D20" s="50" t="inlineStr">
        <is>
          <t>Consistency</t>
        </is>
      </c>
      <c r="E20" s="61" t="n">
        <v>0.03</v>
      </c>
      <c r="F20" s="62" t="n">
        <v>0.016</v>
      </c>
      <c r="G20" s="63" t="inlineStr">
        <is>
          <t>▼  -0.0140</t>
        </is>
      </c>
    </row>
    <row r="21" ht="26" customHeight="1">
      <c r="B21" s="21" t="n">
        <v>16</v>
      </c>
      <c r="C21" s="9" t="inlineStr">
        <is>
          <t>Standardisation Check</t>
        </is>
      </c>
      <c r="D21" s="53" t="inlineStr">
        <is>
          <t>Consistency</t>
        </is>
      </c>
      <c r="E21" s="61" t="n">
        <v>0.03</v>
      </c>
      <c r="F21" s="62" t="n">
        <v>0.008</v>
      </c>
      <c r="G21" s="63" t="inlineStr">
        <is>
          <t>▼  -0.0220</t>
        </is>
      </c>
    </row>
    <row r="22" ht="26" customHeight="1">
      <c r="B22" s="27" t="n">
        <v>17</v>
      </c>
      <c r="C22" s="60" t="inlineStr">
        <is>
          <t>Foreign Key Violation Check</t>
        </is>
      </c>
      <c r="D22" s="50" t="inlineStr">
        <is>
          <t>Integrity</t>
        </is>
      </c>
      <c r="E22" s="61" t="n">
        <v>0.07000000000000001</v>
      </c>
      <c r="F22" s="62" t="n">
        <v>0.06</v>
      </c>
      <c r="G22" s="63" t="inlineStr">
        <is>
          <t>▼  -0.0100</t>
        </is>
      </c>
    </row>
    <row r="23" ht="26" customHeight="1">
      <c r="B23" s="21" t="n">
        <v>18</v>
      </c>
      <c r="C23" s="9" t="inlineStr">
        <is>
          <t>Orphan Record Check</t>
        </is>
      </c>
      <c r="D23" s="53" t="inlineStr">
        <is>
          <t>Integrity</t>
        </is>
      </c>
      <c r="E23" s="61" t="n">
        <v>0.05</v>
      </c>
      <c r="F23" s="62" t="n">
        <v>0.042</v>
      </c>
      <c r="G23" s="63" t="inlineStr">
        <is>
          <t>▼  -0.0080</t>
        </is>
      </c>
    </row>
    <row r="24" ht="26" customHeight="1">
      <c r="B24" s="27" t="n">
        <v>19</v>
      </c>
      <c r="C24" s="60" t="inlineStr">
        <is>
          <t>Broken Join Coverage</t>
        </is>
      </c>
      <c r="D24" s="50" t="inlineStr">
        <is>
          <t>Integrity</t>
        </is>
      </c>
      <c r="E24" s="61" t="n">
        <v>0.03</v>
      </c>
      <c r="F24" s="62" t="n">
        <v>0.018</v>
      </c>
      <c r="G24" s="63" t="inlineStr">
        <is>
          <t>▼  -0.0120</t>
        </is>
      </c>
    </row>
    <row r="25" ht="26" customHeight="1">
      <c r="B25" s="21" t="n">
        <v>20</v>
      </c>
      <c r="C25" s="9" t="inlineStr">
        <is>
          <t>Freshness Lag Hours</t>
        </is>
      </c>
      <c r="D25" s="53" t="inlineStr">
        <is>
          <t>Freshness</t>
        </is>
      </c>
      <c r="E25" s="61" t="n">
        <v>0.06</v>
      </c>
      <c r="F25" s="62" t="n">
        <v>0.045</v>
      </c>
      <c r="G25" s="63" t="inlineStr">
        <is>
          <t>▼  -0.0150</t>
        </is>
      </c>
    </row>
    <row r="26" ht="26" customHeight="1">
      <c r="B26" s="27" t="n">
        <v>21</v>
      </c>
      <c r="C26" s="60" t="inlineStr">
        <is>
          <t>Stale Table Check</t>
        </is>
      </c>
      <c r="D26" s="50" t="inlineStr">
        <is>
          <t>Freshness</t>
        </is>
      </c>
      <c r="E26" s="61" t="n">
        <v>0.04</v>
      </c>
      <c r="F26" s="62" t="n">
        <v>0.027</v>
      </c>
      <c r="G26" s="63" t="inlineStr">
        <is>
          <t>▼  -0.0130</t>
        </is>
      </c>
    </row>
    <row r="27" ht="26" customHeight="1">
      <c r="B27" s="21" t="n">
        <v>22</v>
      </c>
      <c r="C27" s="9" t="inlineStr">
        <is>
          <t>Late-Arriving Data Check</t>
        </is>
      </c>
      <c r="D27" s="53" t="inlineStr">
        <is>
          <t>Freshness</t>
        </is>
      </c>
      <c r="E27" s="61" t="n">
        <v>0.03</v>
      </c>
      <c r="F27" s="62" t="n">
        <v>0.018</v>
      </c>
      <c r="G27" s="63" t="inlineStr">
        <is>
          <t>▼  -0.0120</t>
        </is>
      </c>
    </row>
    <row r="28" ht="26" customHeight="1">
      <c r="B28" s="27" t="n">
        <v>23</v>
      </c>
      <c r="C28" s="60" t="inlineStr">
        <is>
          <t>Row Count Volume Change</t>
        </is>
      </c>
      <c r="D28" s="50" t="inlineStr">
        <is>
          <t>Volume</t>
        </is>
      </c>
      <c r="E28" s="61" t="n">
        <v>0.04</v>
      </c>
      <c r="F28" s="62" t="n">
        <v>0.0325</v>
      </c>
      <c r="G28" s="63" t="inlineStr">
        <is>
          <t>▼  -0.0075</t>
        </is>
      </c>
    </row>
    <row r="29" ht="26" customHeight="1">
      <c r="B29" s="21" t="n">
        <v>24</v>
      </c>
      <c r="C29" s="9" t="inlineStr">
        <is>
          <t>Missing Partition / Date Slice</t>
        </is>
      </c>
      <c r="D29" s="53" t="inlineStr">
        <is>
          <t>Volume</t>
        </is>
      </c>
      <c r="E29" s="61" t="n">
        <v>0.03</v>
      </c>
      <c r="F29" s="62" t="n">
        <v>0.0175</v>
      </c>
      <c r="G29" s="63" t="inlineStr">
        <is>
          <t>▼  -0.0125</t>
        </is>
      </c>
    </row>
    <row r="30" ht="26" customHeight="1">
      <c r="B30" s="27" t="n">
        <v>25</v>
      </c>
      <c r="C30" s="60" t="inlineStr">
        <is>
          <t>Source-to-Target Reconciliation</t>
        </is>
      </c>
      <c r="D30" s="50" t="inlineStr">
        <is>
          <t>Accuracy</t>
        </is>
      </c>
      <c r="E30" s="61" t="n">
        <v>0.06</v>
      </c>
      <c r="F30" s="62" t="n">
        <v>0.04500000000000001</v>
      </c>
      <c r="G30" s="63" t="inlineStr">
        <is>
          <t>▼  -0.0150</t>
        </is>
      </c>
    </row>
    <row r="31" ht="26" customHeight="1">
      <c r="B31" s="21" t="n">
        <v>26</v>
      </c>
      <c r="C31" s="9" t="inlineStr">
        <is>
          <t>Business Rule Validation</t>
        </is>
      </c>
      <c r="D31" s="53" t="inlineStr">
        <is>
          <t>Accuracy</t>
        </is>
      </c>
      <c r="E31" s="61" t="n">
        <v>0.05</v>
      </c>
      <c r="F31" s="62" t="n">
        <v>0.035</v>
      </c>
      <c r="G31" s="63" t="inlineStr">
        <is>
          <t>▼  -0.0150</t>
        </is>
      </c>
    </row>
    <row r="32" ht="26" customHeight="1">
      <c r="B32" s="27" t="n">
        <v>27</v>
      </c>
      <c r="C32" s="60" t="inlineStr">
        <is>
          <t>Reference Data Validation</t>
        </is>
      </c>
      <c r="D32" s="50" t="inlineStr">
        <is>
          <t>Accuracy</t>
        </is>
      </c>
      <c r="E32" s="61" t="n">
        <v>0.04</v>
      </c>
      <c r="F32" s="62" t="n">
        <v>0.02</v>
      </c>
      <c r="G32" s="63" t="inlineStr">
        <is>
          <t>▼  -0.0200</t>
        </is>
      </c>
    </row>
    <row r="33" ht="26" customHeight="1">
      <c r="B33" s="21" t="n">
        <v>28</v>
      </c>
      <c r="C33" s="9" t="inlineStr">
        <is>
          <t>Outlier Detection</t>
        </is>
      </c>
      <c r="D33" s="53" t="inlineStr">
        <is>
          <t>Anomaly</t>
        </is>
      </c>
      <c r="E33" s="61" t="n">
        <v>0.02</v>
      </c>
      <c r="F33" s="62" t="n">
        <v>0.018</v>
      </c>
      <c r="G33" s="63" t="inlineStr">
        <is>
          <t>▼  -0.0020</t>
        </is>
      </c>
    </row>
    <row r="34" ht="26" customHeight="1">
      <c r="B34" s="27" t="n">
        <v>29</v>
      </c>
      <c r="C34" s="60" t="inlineStr">
        <is>
          <t>Distribution Drift Check</t>
        </is>
      </c>
      <c r="D34" s="50" t="inlineStr">
        <is>
          <t>Anomaly</t>
        </is>
      </c>
      <c r="E34" s="61" t="n">
        <v>0.03</v>
      </c>
      <c r="F34" s="62" t="n">
        <v>0.012</v>
      </c>
      <c r="G34" s="63" t="inlineStr">
        <is>
          <t>▼  -0.0180</t>
        </is>
      </c>
    </row>
    <row r="35" ht="26" customHeight="1">
      <c r="B35" s="21" t="n">
        <v>30</v>
      </c>
      <c r="C35" s="9" t="inlineStr">
        <is>
          <t>Schema Drift Detection</t>
        </is>
      </c>
      <c r="D35" s="53" t="inlineStr">
        <is>
          <t>Schema</t>
        </is>
      </c>
      <c r="E35" s="61" t="n">
        <v>0.03</v>
      </c>
      <c r="F35" s="62" t="n">
        <v>0.02</v>
      </c>
      <c r="G35" s="63" t="inlineStr">
        <is>
          <t>▼  -0.0100</t>
        </is>
      </c>
    </row>
    <row r="36" ht="26" customHeight="1">
      <c r="B36" s="27" t="n">
        <v>31</v>
      </c>
      <c r="C36" s="60" t="inlineStr">
        <is>
          <t>Metadata Completeness</t>
        </is>
      </c>
      <c r="D36" s="50" t="inlineStr">
        <is>
          <t>Metadata</t>
        </is>
      </c>
      <c r="E36" s="61" t="n">
        <v>0.02</v>
      </c>
      <c r="F36" s="62" t="n">
        <v>0.01</v>
      </c>
      <c r="G36" s="63" t="inlineStr">
        <is>
          <t>▼  -0.0100</t>
        </is>
      </c>
    </row>
    <row r="37" ht="26" customHeight="1">
      <c r="B37" s="21" t="n">
        <v>32</v>
      </c>
      <c r="C37" s="9" t="inlineStr">
        <is>
          <t>Pipeline Failure Indicator</t>
        </is>
      </c>
      <c r="D37" s="53" t="inlineStr">
        <is>
          <t>Pipeline</t>
        </is>
      </c>
      <c r="E37" s="61" t="n">
        <v>0.03</v>
      </c>
      <c r="F37" s="62" t="n">
        <v>0.01</v>
      </c>
      <c r="G37" s="63" t="inlineStr">
        <is>
          <t>▼  -0.0200</t>
        </is>
      </c>
    </row>
    <row r="38" ht="26" customHeight="1">
      <c r="B38" s="27" t="n">
        <v>33</v>
      </c>
      <c r="C38" s="60" t="inlineStr">
        <is>
          <t>Timestamp Sequence Integrity</t>
        </is>
      </c>
      <c r="D38" s="50" t="inlineStr">
        <is>
          <t>Time_Series</t>
        </is>
      </c>
      <c r="E38" s="61" t="n">
        <v>0.03</v>
      </c>
      <c r="F38" s="62" t="n">
        <v>0.01</v>
      </c>
      <c r="G38" s="63" t="inlineStr">
        <is>
          <t>▼  -0.0200</t>
        </is>
      </c>
    </row>
    <row r="39" ht="22" customHeight="1">
      <c r="B39" s="36" t="inlineStr"/>
      <c r="C39" s="37" t="inlineStr">
        <is>
          <t>TOTAL</t>
        </is>
      </c>
      <c r="D39" s="36" t="inlineStr"/>
      <c r="E39" s="64" t="n">
        <v>1.370000000000001</v>
      </c>
      <c r="F39" s="65" t="n">
        <v>1</v>
      </c>
      <c r="G39" s="66" t="inlineStr">
        <is>
          <t>1.37 → 1.00  ✓</t>
        </is>
      </c>
    </row>
  </sheetData>
  <mergeCells count="3">
    <mergeCell ref="B2:G2"/>
    <mergeCell ref="B3:G4"/>
    <mergeCell ref="B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59669"/>
    <outlinePr summaryBelow="1" summaryRight="1"/>
    <pageSetUpPr/>
  </sheetPr>
  <dimension ref="B1:F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3" customWidth="1" min="7" max="7"/>
  </cols>
  <sheetData>
    <row r="1" ht="32" customHeight="1">
      <c r="B1" s="19" t="inlineStr">
        <is>
          <t>Scoring Logic — How the Quality Score is Calculated</t>
        </is>
      </c>
    </row>
    <row r="2" ht="14" customHeight="1"/>
    <row r="3" ht="22" customHeight="1">
      <c r="B3" s="3" t="inlineStr">
        <is>
          <t>FORMULA</t>
        </is>
      </c>
    </row>
    <row r="4" ht="30" customHeight="1">
      <c r="B4" s="67" t="inlineStr">
        <is>
          <t>Overall Quality Score  =  Σ ( effective_weight  ×  pass_score )  ×  100
where  effective_weight  =  Dimension Weight  ×  Check-Within-Dimension Weight</t>
        </is>
      </c>
    </row>
    <row r="5" ht="20" customHeight="1"/>
    <row r="6" ht="14" customHeight="1"/>
    <row r="7" ht="22" customHeight="1">
      <c r="B7" s="3" t="inlineStr">
        <is>
          <t>PASS SCORE — PARTIAL CREDIT (NOT BINARY)</t>
        </is>
      </c>
    </row>
    <row r="8" ht="28" customHeight="1">
      <c r="B8" s="49" t="inlineStr">
        <is>
          <t>If check passes (metric within threshold)</t>
        </is>
      </c>
      <c r="D8" s="68" t="inlineStr">
        <is>
          <t>pass_score = 1.0</t>
        </is>
      </c>
      <c r="F8" s="69" t="inlineStr">
        <is>
          <t>Full credit.</t>
        </is>
      </c>
    </row>
    <row r="9" ht="28" customHeight="1">
      <c r="B9" s="43" t="inlineStr">
        <is>
          <t>If check fails (lower-is-better)</t>
        </is>
      </c>
      <c r="D9" s="68" t="inlineStr">
        <is>
          <t>pass_score = max(0,  1 − (actual − threshold) / threshold)</t>
        </is>
      </c>
      <c r="F9" s="70" t="inlineStr">
        <is>
          <t>Linear decay from 1.0 at the threshold to 0.0 at 2× threshold.</t>
        </is>
      </c>
    </row>
    <row r="10" ht="28" customHeight="1">
      <c r="B10" s="49" t="inlineStr">
        <is>
          <t>If check fails (higher-is-better, e.g. join coverage)</t>
        </is>
      </c>
      <c r="D10" s="68" t="inlineStr">
        <is>
          <t>pass_score = max(0,  actual / threshold)</t>
        </is>
      </c>
      <c r="F10" s="69" t="inlineStr">
        <is>
          <t>Proportional to how close actual is to target.</t>
        </is>
      </c>
    </row>
    <row r="11" ht="28" customHeight="1">
      <c r="B11" s="43" t="inlineStr">
        <is>
          <t>Advisory check (no threshold)</t>
        </is>
      </c>
      <c r="D11" s="68" t="inlineStr">
        <is>
          <t>pass_score = 1.0  always</t>
        </is>
      </c>
      <c r="F11" s="70" t="inlineStr">
        <is>
          <t>Metric is recorded but never penalises the score.</t>
        </is>
      </c>
    </row>
    <row r="12" ht="14" customHeight="1"/>
    <row r="13" ht="22" customHeight="1">
      <c r="B13" s="3" t="inlineStr">
        <is>
          <t>WORKED EXAMPLES</t>
        </is>
      </c>
    </row>
    <row r="14" ht="20" customHeight="1">
      <c r="B14" s="10" t="inlineStr">
        <is>
          <t>Check</t>
        </is>
      </c>
      <c r="C14" s="10" t="inlineStr">
        <is>
          <t>Threshold</t>
        </is>
      </c>
      <c r="D14" s="10" t="inlineStr">
        <is>
          <t>Actual Value</t>
        </is>
      </c>
      <c r="E14" s="10" t="inlineStr">
        <is>
          <t>Pass Score</t>
        </is>
      </c>
      <c r="F14" s="10" t="inlineStr">
        <is>
          <t>Interpretation</t>
        </is>
      </c>
    </row>
    <row r="15" ht="20" customHeight="1">
      <c r="B15" s="71" t="inlineStr">
        <is>
          <t>PK Duplicate Ratio</t>
        </is>
      </c>
      <c r="C15" s="24">
        <f> 0</f>
        <v/>
      </c>
      <c r="D15" s="24" t="inlineStr">
        <is>
          <t>0.000</t>
        </is>
      </c>
      <c r="E15" s="66" t="inlineStr">
        <is>
          <t>1.00</t>
        </is>
      </c>
      <c r="F15" s="72" t="inlineStr">
        <is>
          <t>✓  Perfect — no duplicates</t>
        </is>
      </c>
    </row>
    <row r="16" ht="20" customHeight="1">
      <c r="B16" s="73" t="inlineStr">
        <is>
          <t>PK Duplicate Ratio</t>
        </is>
      </c>
      <c r="C16" s="29">
        <f> 0</f>
        <v/>
      </c>
      <c r="D16" s="29" t="inlineStr">
        <is>
          <t>0.005</t>
        </is>
      </c>
      <c r="E16" s="74" t="inlineStr">
        <is>
          <t>0.00</t>
        </is>
      </c>
      <c r="F16" s="75" t="inlineStr">
        <is>
          <t>✗  Any PK dup = zero score (zero-tolerance)</t>
        </is>
      </c>
    </row>
    <row r="17" ht="20" customHeight="1">
      <c r="B17" s="71" t="inlineStr">
        <is>
          <t>Null Ratio by Column</t>
        </is>
      </c>
      <c r="C17" s="24" t="inlineStr">
        <is>
          <t>≤ 0.05</t>
        </is>
      </c>
      <c r="D17" s="24" t="inlineStr">
        <is>
          <t>0.030</t>
        </is>
      </c>
      <c r="E17" s="66" t="inlineStr">
        <is>
          <t>1.00</t>
        </is>
      </c>
      <c r="F17" s="72" t="inlineStr">
        <is>
          <t>✓  3% nulls, well within 5% threshold</t>
        </is>
      </c>
    </row>
    <row r="18" ht="20" customHeight="1">
      <c r="B18" s="73" t="inlineStr">
        <is>
          <t>Null Ratio by Column</t>
        </is>
      </c>
      <c r="C18" s="29" t="inlineStr">
        <is>
          <t>≤ 0.05</t>
        </is>
      </c>
      <c r="D18" s="29" t="inlineStr">
        <is>
          <t>0.070</t>
        </is>
      </c>
      <c r="E18" s="76" t="inlineStr">
        <is>
          <t>0.60</t>
        </is>
      </c>
      <c r="F18" s="75" t="inlineStr">
        <is>
          <t>✗  7% nulls — partial credit (40% over threshold)</t>
        </is>
      </c>
    </row>
    <row r="19" ht="20" customHeight="1">
      <c r="B19" s="71" t="inlineStr">
        <is>
          <t>Null Ratio by Column</t>
        </is>
      </c>
      <c r="C19" s="24" t="inlineStr">
        <is>
          <t>≤ 0.05</t>
        </is>
      </c>
      <c r="D19" s="24" t="inlineStr">
        <is>
          <t>0.100</t>
        </is>
      </c>
      <c r="E19" s="74" t="inlineStr">
        <is>
          <t>0.00</t>
        </is>
      </c>
      <c r="F19" s="75" t="inlineStr">
        <is>
          <t>✗  10% nulls — 2× threshold, zero score</t>
        </is>
      </c>
    </row>
    <row r="20" ht="20" customHeight="1">
      <c r="B20" s="73" t="inlineStr">
        <is>
          <t>FK Violation Check</t>
        </is>
      </c>
      <c r="C20" s="29">
        <f> 0</f>
        <v/>
      </c>
      <c r="D20" s="29" t="inlineStr">
        <is>
          <t>0.032</t>
        </is>
      </c>
      <c r="E20" s="74" t="inlineStr">
        <is>
          <t>0.00</t>
        </is>
      </c>
      <c r="F20" s="75" t="inlineStr">
        <is>
          <t>✗  3.2% FK violations — zero-tolerance, zero score</t>
        </is>
      </c>
    </row>
    <row r="21" ht="20" customHeight="1">
      <c r="B21" s="71" t="inlineStr">
        <is>
          <t>Broken Join Coverage</t>
        </is>
      </c>
      <c r="C21" s="24" t="inlineStr">
        <is>
          <t>≥ 0.99</t>
        </is>
      </c>
      <c r="D21" s="24" t="inlineStr">
        <is>
          <t>0.985</t>
        </is>
      </c>
      <c r="E21" s="76" t="inlineStr">
        <is>
          <t>0.99</t>
        </is>
      </c>
      <c r="F21" s="75" t="inlineStr">
        <is>
          <t>✗  98.5% coverage — near miss, high partial credit</t>
        </is>
      </c>
    </row>
    <row r="22" ht="20" customHeight="1">
      <c r="B22" s="73" t="inlineStr">
        <is>
          <t>Freshness Lag Hours</t>
        </is>
      </c>
      <c r="C22" s="29" t="inlineStr">
        <is>
          <t>≤ 24h</t>
        </is>
      </c>
      <c r="D22" s="29" t="inlineStr">
        <is>
          <t>18h</t>
        </is>
      </c>
      <c r="E22" s="66" t="inlineStr">
        <is>
          <t>1.00</t>
        </is>
      </c>
      <c r="F22" s="72" t="inlineStr">
        <is>
          <t>✓  18 hours lag, within 24h SLA</t>
        </is>
      </c>
    </row>
    <row r="23" ht="20" customHeight="1">
      <c r="B23" s="71" t="inlineStr">
        <is>
          <t>Outlier Detection (advisory)</t>
        </is>
      </c>
      <c r="C23" s="24" t="inlineStr">
        <is>
          <t>None</t>
        </is>
      </c>
      <c r="D23" s="24" t="inlineStr">
        <is>
          <t>0.023</t>
        </is>
      </c>
      <c r="E23" s="66" t="inlineStr">
        <is>
          <t>1.00</t>
        </is>
      </c>
      <c r="F23" s="72" t="inlineStr">
        <is>
          <t>✓  Metric recorded, no score impact (advisory)</t>
        </is>
      </c>
    </row>
    <row r="24" ht="14" customHeight="1"/>
    <row r="25" ht="22" customHeight="1">
      <c r="B25" s="3" t="inlineStr">
        <is>
          <t>SCORE INTERPRETATION GUIDE</t>
        </is>
      </c>
    </row>
    <row r="26" ht="18" customHeight="1">
      <c r="B26" s="10" t="inlineStr">
        <is>
          <t>Score Range</t>
        </is>
      </c>
      <c r="C26" s="10" t="inlineStr">
        <is>
          <t>Rating</t>
        </is>
      </c>
      <c r="D26" s="10" t="inlineStr">
        <is>
          <t>Description</t>
        </is>
      </c>
      <c r="E26" s="77" t="inlineStr"/>
    </row>
    <row r="27" ht="26" customHeight="1">
      <c r="B27" s="78" t="inlineStr">
        <is>
          <t>90 – 100</t>
        </is>
      </c>
      <c r="C27" s="78" t="inlineStr">
        <is>
          <t>Excellent</t>
        </is>
      </c>
      <c r="D27" s="79" t="inlineStr">
        <is>
          <t>Production-ready. Data can be trusted for analytics and AI workloads.</t>
        </is>
      </c>
    </row>
    <row r="28" ht="26" customHeight="1">
      <c r="B28" s="80" t="inlineStr">
        <is>
          <t>70 – 89</t>
        </is>
      </c>
      <c r="C28" s="80" t="inlineStr">
        <is>
          <t>Good</t>
        </is>
      </c>
      <c r="D28" s="81" t="inlineStr">
        <is>
          <t>Minor issues present. Suitable for most analytics; investigate failures before AI use.</t>
        </is>
      </c>
    </row>
    <row r="29" ht="26" customHeight="1">
      <c r="B29" s="80" t="inlineStr">
        <is>
          <t>50 – 69</t>
        </is>
      </c>
      <c r="C29" s="80" t="inlineStr">
        <is>
          <t>Fair</t>
        </is>
      </c>
      <c r="D29" s="81" t="inlineStr">
        <is>
          <t>Meaningful data quality issues. Root-cause analysis and remediation recommended.</t>
        </is>
      </c>
    </row>
    <row r="30" ht="26" customHeight="1">
      <c r="B30" s="82" t="inlineStr">
        <is>
          <t>0 – 49</t>
        </is>
      </c>
      <c r="C30" s="82" t="inlineStr">
        <is>
          <t>Poor</t>
        </is>
      </c>
      <c r="D30" s="83" t="inlineStr">
        <is>
          <t>Significant data quality problems. Do not use for critical decisions until resolved.</t>
        </is>
      </c>
    </row>
  </sheetData>
  <mergeCells count="18">
    <mergeCell ref="D8:E8"/>
    <mergeCell ref="B7:F7"/>
    <mergeCell ref="D10:E10"/>
    <mergeCell ref="D30:E30"/>
    <mergeCell ref="B11:C11"/>
    <mergeCell ref="D11:E11"/>
    <mergeCell ref="B25:F25"/>
    <mergeCell ref="D27:E27"/>
    <mergeCell ref="B3:F3"/>
    <mergeCell ref="B10:C10"/>
    <mergeCell ref="D29:E29"/>
    <mergeCell ref="D28:E28"/>
    <mergeCell ref="B1:F1"/>
    <mergeCell ref="B9:C9"/>
    <mergeCell ref="D9:E9"/>
    <mergeCell ref="B8:C8"/>
    <mergeCell ref="B4:F5"/>
    <mergeCell ref="B13:F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97706"/>
    <outlinePr summaryBelow="1" summaryRight="1"/>
    <pageSetUpPr/>
  </sheetPr>
  <dimension ref="B1:G4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16" customWidth="1" min="4" max="4"/>
    <col width="12" customWidth="1" min="5" max="5"/>
    <col width="12" customWidth="1" min="6" max="6"/>
    <col width="42" customWidth="1" min="7" max="7"/>
    <col width="3" customWidth="1" min="8" max="8"/>
  </cols>
  <sheetData>
    <row r="1" ht="32" customHeight="1">
      <c r="B1" s="19" t="inlineStr">
        <is>
          <t>Implementation Roadmap — Phased Rollout</t>
        </is>
      </c>
    </row>
    <row r="2" ht="14" customHeight="1"/>
    <row r="3" ht="22" customHeight="1">
      <c r="B3" s="3" t="inlineStr">
        <is>
          <t>MVP — Phase 1</t>
        </is>
      </c>
    </row>
    <row r="4" ht="30" customHeight="1">
      <c r="B4" s="84" t="inlineStr">
        <is>
          <t>Foundation checks covering the highest-impact dimensions. 20 checks across Completeness, Uniqueness, Validity, Integrity, Freshness, Volume. Highest signal-to-effort ratio.</t>
        </is>
      </c>
    </row>
    <row r="5" ht="18" customHeight="1">
      <c r="B5" s="10" t="inlineStr">
        <is>
          <t>ID</t>
        </is>
      </c>
      <c r="C5" s="10" t="inlineStr">
        <is>
          <t>Check Name</t>
        </is>
      </c>
      <c r="D5" s="10" t="inlineStr">
        <is>
          <t>Dimension</t>
        </is>
      </c>
      <c r="E5" s="10" t="inlineStr">
        <is>
          <t>Eff. Weight</t>
        </is>
      </c>
      <c r="F5" s="10" t="inlineStr">
        <is>
          <t>Threshold</t>
        </is>
      </c>
      <c r="G5" s="10" t="inlineStr">
        <is>
          <t>Why this phase</t>
        </is>
      </c>
    </row>
    <row r="6" ht="26" customHeight="1">
      <c r="B6" s="27" t="n">
        <v>1</v>
      </c>
      <c r="C6" s="73" t="inlineStr">
        <is>
          <t>Null Ratio by Column</t>
        </is>
      </c>
      <c r="D6" s="85" t="inlineStr">
        <is>
          <t>Completeness</t>
        </is>
      </c>
      <c r="E6" s="86" t="n">
        <v>0.06</v>
      </c>
      <c r="F6" s="29" t="inlineStr">
        <is>
          <t>≤ 5%</t>
        </is>
      </c>
      <c r="G6" s="30" t="inlineStr">
        <is>
          <t>Baseline null profiling across all columns.</t>
        </is>
      </c>
    </row>
    <row r="7" ht="26" customHeight="1">
      <c r="B7" s="21" t="n">
        <v>2</v>
      </c>
      <c r="C7" s="71" t="inlineStr">
        <is>
          <t>Null Ratio in Critical Columns</t>
        </is>
      </c>
      <c r="D7" s="85" t="inlineStr">
        <is>
          <t>Completeness</t>
        </is>
      </c>
      <c r="E7" s="87" t="n">
        <v>0.08000000000000002</v>
      </c>
      <c r="F7" s="24" t="inlineStr">
        <is>
          <t>≤ 1%</t>
        </is>
      </c>
      <c r="G7" s="26" t="inlineStr">
        <is>
          <t>Highest completeness weight — zero-tolerance on key columns like IDs and emails.</t>
        </is>
      </c>
    </row>
    <row r="8" ht="26" customHeight="1">
      <c r="B8" s="27" t="n">
        <v>3</v>
      </c>
      <c r="C8" s="73" t="inlineStr">
        <is>
          <t>Empty Row Check</t>
        </is>
      </c>
      <c r="D8" s="85" t="inlineStr">
        <is>
          <t>Completeness</t>
        </is>
      </c>
      <c r="E8" s="86" t="n">
        <v>0.02</v>
      </c>
      <c r="F8" s="29">
        <f> 0</f>
        <v/>
      </c>
      <c r="G8" s="30" t="inlineStr">
        <is>
          <t>Rows where all major fields are null. Rare but critical when found.</t>
        </is>
      </c>
    </row>
    <row r="9" ht="26" customHeight="1">
      <c r="B9" s="21" t="n">
        <v>4</v>
      </c>
      <c r="C9" s="71" t="inlineStr">
        <is>
          <t>Conditional Completeness</t>
        </is>
      </c>
      <c r="D9" s="85" t="inlineStr">
        <is>
          <t>Completeness</t>
        </is>
      </c>
      <c r="E9" s="87" t="n">
        <v>0.04000000000000001</v>
      </c>
      <c r="F9" s="24" t="inlineStr">
        <is>
          <t>≤ 1%</t>
        </is>
      </c>
      <c r="G9" s="26" t="inlineStr">
        <is>
          <t>Required field must be present when a condition is true (e.g. shipping address when order type is ONLINE).</t>
        </is>
      </c>
    </row>
    <row r="10" ht="26" customHeight="1">
      <c r="B10" s="27" t="n">
        <v>5</v>
      </c>
      <c r="C10" s="73" t="inlineStr">
        <is>
          <t>PK Duplicate Ratio</t>
        </is>
      </c>
      <c r="D10" s="85" t="inlineStr">
        <is>
          <t>Uniqueness</t>
        </is>
      </c>
      <c r="E10" s="86" t="n">
        <v>0.07700000000000001</v>
      </c>
      <c r="F10" s="29">
        <f> 0</f>
        <v/>
      </c>
      <c r="G10" s="30" t="inlineStr">
        <is>
          <t>Highest uniqueness weight — any PK duplication is definitionally wrong. Zero tolerance.</t>
        </is>
      </c>
    </row>
    <row r="11" ht="26" customHeight="1">
      <c r="B11" s="21" t="n">
        <v>6</v>
      </c>
      <c r="C11" s="71" t="inlineStr">
        <is>
          <t>Business Key Duplicate Ratio</t>
        </is>
      </c>
      <c r="D11" s="85" t="inlineStr">
        <is>
          <t>Uniqueness</t>
        </is>
      </c>
      <c r="E11" s="87" t="n">
        <v>0.049</v>
      </c>
      <c r="F11" s="24" t="inlineStr">
        <is>
          <t>≤ 0.5%</t>
        </is>
      </c>
      <c r="G11" s="26" t="inlineStr">
        <is>
          <t>Duplicates on email, phone, order ID etc. 0.5% tolerance.</t>
        </is>
      </c>
    </row>
    <row r="12" ht="26" customHeight="1">
      <c r="B12" s="27" t="n">
        <v>7</v>
      </c>
      <c r="C12" s="73" t="inlineStr">
        <is>
          <t>Near-Duplicate Candidate Check</t>
        </is>
      </c>
      <c r="D12" s="85" t="inlineStr">
        <is>
          <t>Uniqueness</t>
        </is>
      </c>
      <c r="E12" s="86" t="n">
        <v>0.014</v>
      </c>
      <c r="F12" s="29" t="inlineStr">
        <is>
          <t>Advisory</t>
        </is>
      </c>
      <c r="G12" s="30" t="inlineStr">
        <is>
          <t>Fuzzy/phonetic duplicate candidates. Advisory — no hard threshold.</t>
        </is>
      </c>
    </row>
    <row r="13" ht="26" customHeight="1">
      <c r="B13" s="21" t="n">
        <v>8</v>
      </c>
      <c r="C13" s="71" t="inlineStr">
        <is>
          <t>Data Type Conformance</t>
        </is>
      </c>
      <c r="D13" s="85" t="inlineStr">
        <is>
          <t>Validity</t>
        </is>
      </c>
      <c r="E13" s="87" t="n">
        <v>0.042</v>
      </c>
      <c r="F13" s="24" t="inlineStr">
        <is>
          <t>≤ 0.5%</t>
        </is>
      </c>
      <c r="G13" s="26" t="inlineStr">
        <is>
          <t>Highest validity weight — wrong types crash pipelines or silently coerce values.</t>
        </is>
      </c>
    </row>
    <row r="14" ht="26" customHeight="1">
      <c r="B14" s="27" t="n">
        <v>9</v>
      </c>
      <c r="C14" s="73" t="inlineStr">
        <is>
          <t>Allowed Value / Domain Check</t>
        </is>
      </c>
      <c r="D14" s="85" t="inlineStr">
        <is>
          <t>Validity</t>
        </is>
      </c>
      <c r="E14" s="86" t="n">
        <v>0.035</v>
      </c>
      <c r="F14" s="29">
        <f> 0</f>
        <v/>
      </c>
      <c r="G14" s="30" t="inlineStr">
        <is>
          <t>Values outside approved enum list. Zero tolerance — every violation is a data contract breach.</t>
        </is>
      </c>
    </row>
    <row r="15" ht="26" customHeight="1">
      <c r="B15" s="21" t="n">
        <v>10</v>
      </c>
      <c r="C15" s="71" t="inlineStr">
        <is>
          <t>Format Validation</t>
        </is>
      </c>
      <c r="D15" s="85" t="inlineStr">
        <is>
          <t>Validity</t>
        </is>
      </c>
      <c r="E15" s="87" t="n">
        <v>0.028</v>
      </c>
      <c r="F15" s="24" t="inlineStr">
        <is>
          <t>≤ 0.5%</t>
        </is>
      </c>
      <c r="G15" s="26" t="inlineStr">
        <is>
          <t>Email, phone, postcode regex patterns.</t>
        </is>
      </c>
    </row>
    <row r="16" ht="26" customHeight="1">
      <c r="B16" s="27" t="n">
        <v>11</v>
      </c>
      <c r="C16" s="73" t="inlineStr">
        <is>
          <t>Range Validation</t>
        </is>
      </c>
      <c r="D16" s="85" t="inlineStr">
        <is>
          <t>Validity</t>
        </is>
      </c>
      <c r="E16" s="86" t="n">
        <v>0.021</v>
      </c>
      <c r="F16" s="29" t="inlineStr">
        <is>
          <t>≤ 0.5%</t>
        </is>
      </c>
      <c r="G16" s="30" t="inlineStr">
        <is>
          <t>Numeric or date values outside expected min/max bounds.</t>
        </is>
      </c>
    </row>
    <row r="17" ht="26" customHeight="1">
      <c r="B17" s="21" t="n">
        <v>12</v>
      </c>
      <c r="C17" s="71" t="inlineStr">
        <is>
          <t>Negative Value Check</t>
        </is>
      </c>
      <c r="D17" s="85" t="inlineStr">
        <is>
          <t>Validity</t>
        </is>
      </c>
      <c r="E17" s="87" t="n">
        <v>0.014</v>
      </c>
      <c r="F17" s="24">
        <f> 0</f>
        <v/>
      </c>
      <c r="G17" s="26" t="inlineStr">
        <is>
          <t>Non-negative measures (revenue, quantity) found below zero.</t>
        </is>
      </c>
    </row>
    <row r="18" ht="26" customHeight="1">
      <c r="B18" s="27" t="n">
        <v>17</v>
      </c>
      <c r="C18" s="73" t="inlineStr">
        <is>
          <t>Foreign Key Violation Check</t>
        </is>
      </c>
      <c r="D18" s="85" t="inlineStr">
        <is>
          <t>Integrity</t>
        </is>
      </c>
      <c r="E18" s="86" t="n">
        <v>0.06</v>
      </c>
      <c r="F18" s="29">
        <f> 0</f>
        <v/>
      </c>
      <c r="G18" s="30" t="inlineStr">
        <is>
          <t>Highest integrity weight — child rows without a matching parent break every join downstream.</t>
        </is>
      </c>
    </row>
    <row r="19" ht="26" customHeight="1">
      <c r="B19" s="21" t="n">
        <v>18</v>
      </c>
      <c r="C19" s="71" t="inlineStr">
        <is>
          <t>Orphan Record Check</t>
        </is>
      </c>
      <c r="D19" s="85" t="inlineStr">
        <is>
          <t>Integrity</t>
        </is>
      </c>
      <c r="E19" s="87" t="n">
        <v>0.042</v>
      </c>
      <c r="F19" s="24">
        <f> 0</f>
        <v/>
      </c>
      <c r="G19" s="26" t="inlineStr">
        <is>
          <t>Unlinked rows that should map to a master or dimension table.</t>
        </is>
      </c>
    </row>
    <row r="20" ht="26" customHeight="1">
      <c r="B20" s="27" t="n">
        <v>19</v>
      </c>
      <c r="C20" s="73" t="inlineStr">
        <is>
          <t>Broken Join Coverage</t>
        </is>
      </c>
      <c r="D20" s="85" t="inlineStr">
        <is>
          <t>Integrity</t>
        </is>
      </c>
      <c r="E20" s="86" t="n">
        <v>0.018</v>
      </c>
      <c r="F20" s="29" t="inlineStr">
        <is>
          <t>≥ 99%</t>
        </is>
      </c>
      <c r="G20" s="30" t="inlineStr">
        <is>
          <t>Expected join coverage falls below target. Softer version of FK check.</t>
        </is>
      </c>
    </row>
    <row r="21" ht="26" customHeight="1">
      <c r="B21" s="21" t="n">
        <v>20</v>
      </c>
      <c r="C21" s="71" t="inlineStr">
        <is>
          <t>Freshness Lag Hours</t>
        </is>
      </c>
      <c r="D21" s="85" t="inlineStr">
        <is>
          <t>Freshness</t>
        </is>
      </c>
      <c r="E21" s="87" t="n">
        <v>0.045</v>
      </c>
      <c r="F21" s="24" t="inlineStr">
        <is>
          <t>≤ SLA</t>
        </is>
      </c>
      <c r="G21" s="26" t="inlineStr">
        <is>
          <t>Hours since latest update vs. configured SLA. Primary freshness metric.</t>
        </is>
      </c>
    </row>
    <row r="22" ht="26" customHeight="1">
      <c r="B22" s="27" t="n">
        <v>21</v>
      </c>
      <c r="C22" s="73" t="inlineStr">
        <is>
          <t>Stale Table Check</t>
        </is>
      </c>
      <c r="D22" s="85" t="inlineStr">
        <is>
          <t>Freshness</t>
        </is>
      </c>
      <c r="E22" s="86" t="n">
        <v>0.027</v>
      </c>
      <c r="F22" s="29">
        <f> 0</f>
        <v/>
      </c>
      <c r="G22" s="30" t="inlineStr">
        <is>
          <t>Binary flag — table has not been updated within the configured window.</t>
        </is>
      </c>
    </row>
    <row r="23" ht="26" customHeight="1">
      <c r="B23" s="21" t="n">
        <v>22</v>
      </c>
      <c r="C23" s="71" t="inlineStr">
        <is>
          <t>Late-Arriving Data Check</t>
        </is>
      </c>
      <c r="D23" s="85" t="inlineStr">
        <is>
          <t>Freshness</t>
        </is>
      </c>
      <c r="E23" s="87" t="n">
        <v>0.018</v>
      </c>
      <c r="F23" s="24" t="inlineStr">
        <is>
          <t>≤ 1%</t>
        </is>
      </c>
      <c r="G23" s="26" t="inlineStr">
        <is>
          <t>Records that arrived later than the allowed delay after their event time.</t>
        </is>
      </c>
    </row>
    <row r="24" ht="26" customHeight="1">
      <c r="B24" s="27" t="n">
        <v>23</v>
      </c>
      <c r="C24" s="73" t="inlineStr">
        <is>
          <t>Row Count Volume Change</t>
        </is>
      </c>
      <c r="D24" s="85" t="inlineStr">
        <is>
          <t>Volume</t>
        </is>
      </c>
      <c r="E24" s="86" t="n">
        <v>0.0325</v>
      </c>
      <c r="F24" s="29" t="inlineStr">
        <is>
          <t>≤ ±30%</t>
        </is>
      </c>
      <c r="G24" s="30" t="inlineStr">
        <is>
          <t>Highest volume weight — unexpected day-over-day row count change is the leading pipeline failure indicator.</t>
        </is>
      </c>
    </row>
    <row r="25" ht="26" customHeight="1">
      <c r="B25" s="21" t="n">
        <v>24</v>
      </c>
      <c r="C25" s="71" t="inlineStr">
        <is>
          <t>Missing Partition / Date Slice</t>
        </is>
      </c>
      <c r="D25" s="85" t="inlineStr">
        <is>
          <t>Volume</t>
        </is>
      </c>
      <c r="E25" s="87" t="n">
        <v>0.0175</v>
      </c>
      <c r="F25" s="24">
        <f> 0</f>
        <v/>
      </c>
      <c r="G25" s="26" t="inlineStr">
        <is>
          <t>Expected partition or date slice not loaded.</t>
        </is>
      </c>
    </row>
    <row r="26" ht="20" customHeight="1">
      <c r="B26" s="36" t="inlineStr"/>
      <c r="C26" s="37" t="inlineStr">
        <is>
          <t>Phase subtotal (20 checks)</t>
        </is>
      </c>
      <c r="D26" s="36" t="inlineStr"/>
      <c r="E26" s="88" t="n">
        <v>0.7400000000000001</v>
      </c>
      <c r="F26" s="40" t="inlineStr">
        <is>
          <t>74% of total score</t>
        </is>
      </c>
      <c r="G26" s="36" t="inlineStr"/>
    </row>
    <row r="28" ht="22" customHeight="1">
      <c r="B28" s="89" t="inlineStr">
        <is>
          <t>Phase 2 — Enhancements</t>
        </is>
      </c>
    </row>
    <row r="29" ht="30" customHeight="1">
      <c r="B29" s="90" t="inlineStr">
        <is>
          <t>Checks requiring additional setup: cross-table mapping, source/target tables, baseline snapshots, or orchestration metadata. 13 checks across Consistency, Accuracy, Anomaly, Schema, Pipeline.</t>
        </is>
      </c>
    </row>
    <row r="30" ht="18" customHeight="1">
      <c r="B30" s="10" t="inlineStr">
        <is>
          <t>ID</t>
        </is>
      </c>
      <c r="C30" s="10" t="inlineStr">
        <is>
          <t>Check Name</t>
        </is>
      </c>
      <c r="D30" s="10" t="inlineStr">
        <is>
          <t>Dimension</t>
        </is>
      </c>
      <c r="E30" s="10" t="inlineStr">
        <is>
          <t>Eff. Weight</t>
        </is>
      </c>
      <c r="F30" s="10" t="inlineStr">
        <is>
          <t>Threshold</t>
        </is>
      </c>
      <c r="G30" s="10" t="inlineStr">
        <is>
          <t>Why this phase</t>
        </is>
      </c>
    </row>
    <row r="31" ht="26" customHeight="1">
      <c r="B31" s="27" t="n">
        <v>13</v>
      </c>
      <c r="C31" s="73" t="inlineStr">
        <is>
          <t>Cross-Field Consistency</t>
        </is>
      </c>
      <c r="D31" s="91" t="inlineStr">
        <is>
          <t>Consistency</t>
        </is>
      </c>
      <c r="E31" s="86" t="n">
        <v>0.028</v>
      </c>
      <c r="F31" s="29">
        <f> 0</f>
        <v/>
      </c>
      <c r="G31" s="30" t="inlineStr">
        <is>
          <t>Logical consistency within a row (e.g. end_date must be after start_date).</t>
        </is>
      </c>
    </row>
    <row r="32" ht="26" customHeight="1">
      <c r="B32" s="21" t="n">
        <v>14</v>
      </c>
      <c r="C32" s="71" t="inlineStr">
        <is>
          <t>Cross-Table Consistency</t>
        </is>
      </c>
      <c r="D32" s="91" t="inlineStr">
        <is>
          <t>Consistency</t>
        </is>
      </c>
      <c r="E32" s="87" t="n">
        <v>0.028</v>
      </c>
      <c r="F32" s="24" t="inlineStr">
        <is>
          <t>≤ 0.5%</t>
        </is>
      </c>
      <c r="G32" s="26" t="inlineStr">
        <is>
          <t>Same business entity attributes conflicting across tables.</t>
        </is>
      </c>
    </row>
    <row r="33" ht="26" customHeight="1">
      <c r="B33" s="27" t="n">
        <v>15</v>
      </c>
      <c r="C33" s="73" t="inlineStr">
        <is>
          <t>Unit / Currency Consistency</t>
        </is>
      </c>
      <c r="D33" s="91" t="inlineStr">
        <is>
          <t>Consistency</t>
        </is>
      </c>
      <c r="E33" s="86" t="n">
        <v>0.016</v>
      </c>
      <c r="F33" s="29">
        <f> 0</f>
        <v/>
      </c>
      <c r="G33" s="30" t="inlineStr">
        <is>
          <t>Unexpected mix of units, currencies, or measurement scales.</t>
        </is>
      </c>
    </row>
    <row r="34" ht="26" customHeight="1">
      <c r="B34" s="21" t="n">
        <v>16</v>
      </c>
      <c r="C34" s="71" t="inlineStr">
        <is>
          <t>Standardisation Check</t>
        </is>
      </c>
      <c r="D34" s="91" t="inlineStr">
        <is>
          <t>Consistency</t>
        </is>
      </c>
      <c r="E34" s="87" t="n">
        <v>0.008</v>
      </c>
      <c r="F34" s="24" t="inlineStr">
        <is>
          <t>≤ 1%</t>
        </is>
      </c>
      <c r="G34" s="26" t="inlineStr">
        <is>
          <t>Inconsistent labels for the same concept (e.g. 'USA' vs 'US' vs 'United States').</t>
        </is>
      </c>
    </row>
    <row r="35" ht="26" customHeight="1">
      <c r="B35" s="27" t="n">
        <v>25</v>
      </c>
      <c r="C35" s="73" t="inlineStr">
        <is>
          <t>Source-to-Target Reconciliation</t>
        </is>
      </c>
      <c r="D35" s="91" t="inlineStr">
        <is>
          <t>Accuracy</t>
        </is>
      </c>
      <c r="E35" s="86" t="n">
        <v>0.04500000000000001</v>
      </c>
      <c r="F35" s="29" t="inlineStr">
        <is>
          <t>≤ 0.5%</t>
        </is>
      </c>
      <c r="G35" s="30" t="inlineStr">
        <is>
          <t>Target totals reconcile to source/control totals. Highest accuracy weight.</t>
        </is>
      </c>
    </row>
    <row r="36" ht="26" customHeight="1">
      <c r="B36" s="21" t="n">
        <v>26</v>
      </c>
      <c r="C36" s="71" t="inlineStr">
        <is>
          <t>Business Rule Validation</t>
        </is>
      </c>
      <c r="D36" s="91" t="inlineStr">
        <is>
          <t>Accuracy</t>
        </is>
      </c>
      <c r="E36" s="87" t="n">
        <v>0.035</v>
      </c>
      <c r="F36" s="24" t="inlineStr">
        <is>
          <t>≤ 0.5%</t>
        </is>
      </c>
      <c r="G36" s="26" t="inlineStr">
        <is>
          <t>Derived business logic holds (e.g. revenue = price × quantity).</t>
        </is>
      </c>
    </row>
    <row r="37" ht="26" customHeight="1">
      <c r="B37" s="27" t="n">
        <v>27</v>
      </c>
      <c r="C37" s="73" t="inlineStr">
        <is>
          <t>Reference Data Validation</t>
        </is>
      </c>
      <c r="D37" s="91" t="inlineStr">
        <is>
          <t>Accuracy</t>
        </is>
      </c>
      <c r="E37" s="86" t="n">
        <v>0.02</v>
      </c>
      <c r="F37" s="29" t="inlineStr">
        <is>
          <t>≤ 0.5%</t>
        </is>
      </c>
      <c r="G37" s="30" t="inlineStr">
        <is>
          <t>Values align to trusted reference or master data.</t>
        </is>
      </c>
    </row>
    <row r="38" ht="26" customHeight="1">
      <c r="B38" s="21" t="n">
        <v>28</v>
      </c>
      <c r="C38" s="71" t="inlineStr">
        <is>
          <t>Outlier Detection</t>
        </is>
      </c>
      <c r="D38" s="91" t="inlineStr">
        <is>
          <t>Anomaly</t>
        </is>
      </c>
      <c r="E38" s="87" t="n">
        <v>0.018</v>
      </c>
      <c r="F38" s="24" t="inlineStr">
        <is>
          <t>Advisory</t>
        </is>
      </c>
      <c r="G38" s="26" t="inlineStr">
        <is>
          <t>Extreme values outside Z-score bounds. Advisory — no hard threshold.</t>
        </is>
      </c>
    </row>
    <row r="39" ht="26" customHeight="1">
      <c r="B39" s="27" t="n">
        <v>29</v>
      </c>
      <c r="C39" s="73" t="inlineStr">
        <is>
          <t>Distribution Drift Check</t>
        </is>
      </c>
      <c r="D39" s="91" t="inlineStr">
        <is>
          <t>Anomaly</t>
        </is>
      </c>
      <c r="E39" s="86" t="n">
        <v>0.012</v>
      </c>
      <c r="F39" s="29" t="inlineStr">
        <is>
          <t>Advisory</t>
        </is>
      </c>
      <c r="G39" s="30" t="inlineStr">
        <is>
          <t>Distribution materially shifts from baseline period (PSI/KS). Advisory.</t>
        </is>
      </c>
    </row>
    <row r="40" ht="26" customHeight="1">
      <c r="B40" s="21" t="n">
        <v>30</v>
      </c>
      <c r="C40" s="71" t="inlineStr">
        <is>
          <t>Schema Drift Detection</t>
        </is>
      </c>
      <c r="D40" s="91" t="inlineStr">
        <is>
          <t>Schema</t>
        </is>
      </c>
      <c r="E40" s="87" t="n">
        <v>0.02</v>
      </c>
      <c r="F40" s="24">
        <f> 0</f>
        <v/>
      </c>
      <c r="G40" s="26" t="inlineStr">
        <is>
          <t>Columns added, dropped, renamed, or type-changed vs. baseline snapshot.</t>
        </is>
      </c>
    </row>
    <row r="41" ht="26" customHeight="1">
      <c r="B41" s="27" t="n">
        <v>32</v>
      </c>
      <c r="C41" s="73" t="inlineStr">
        <is>
          <t>Pipeline Failure Indicator</t>
        </is>
      </c>
      <c r="D41" s="91" t="inlineStr">
        <is>
          <t>Pipeline</t>
        </is>
      </c>
      <c r="E41" s="86" t="n">
        <v>0.01</v>
      </c>
      <c r="F41" s="29" t="inlineStr">
        <is>
          <t>≤ 1%</t>
        </is>
      </c>
      <c r="G41" s="30" t="inlineStr">
        <is>
          <t>Recent failed loads or jobs associated with this dataset.</t>
        </is>
      </c>
    </row>
    <row r="42" ht="20" customHeight="1">
      <c r="B42" s="36" t="inlineStr"/>
      <c r="C42" s="37" t="inlineStr">
        <is>
          <t>Phase subtotal (11 checks)</t>
        </is>
      </c>
      <c r="D42" s="36" t="inlineStr"/>
      <c r="E42" s="88" t="n">
        <v>0.24</v>
      </c>
      <c r="F42" s="40" t="inlineStr">
        <is>
          <t>24% of total score</t>
        </is>
      </c>
      <c r="G42" s="36" t="inlineStr"/>
    </row>
    <row r="44" ht="22" customHeight="1">
      <c r="B44" s="89" t="inlineStr">
        <is>
          <t>Later — Governance</t>
        </is>
      </c>
    </row>
    <row r="45" ht="30" customHeight="1">
      <c r="B45" s="92" t="inlineStr">
        <is>
          <t>Governance-adjacent checks. Useful once foundational checks are stable. 2 checks: Metadata Completeness, Timestamp Sequence Integrity.</t>
        </is>
      </c>
    </row>
    <row r="46" ht="18" customHeight="1">
      <c r="B46" s="10" t="inlineStr">
        <is>
          <t>ID</t>
        </is>
      </c>
      <c r="C46" s="10" t="inlineStr">
        <is>
          <t>Check Name</t>
        </is>
      </c>
      <c r="D46" s="10" t="inlineStr">
        <is>
          <t>Dimension</t>
        </is>
      </c>
      <c r="E46" s="10" t="inlineStr">
        <is>
          <t>Eff. Weight</t>
        </is>
      </c>
      <c r="F46" s="10" t="inlineStr">
        <is>
          <t>Threshold</t>
        </is>
      </c>
      <c r="G46" s="10" t="inlineStr">
        <is>
          <t>Why this phase</t>
        </is>
      </c>
    </row>
    <row r="47" ht="26" customHeight="1">
      <c r="B47" s="27" t="n">
        <v>31</v>
      </c>
      <c r="C47" s="73" t="inlineStr">
        <is>
          <t>Metadata Completeness</t>
        </is>
      </c>
      <c r="D47" s="52" t="inlineStr">
        <is>
          <t>Metadata</t>
        </is>
      </c>
      <c r="E47" s="86" t="n">
        <v>0.01</v>
      </c>
      <c r="F47" s="29" t="inlineStr">
        <is>
          <t>≤ 5%</t>
        </is>
      </c>
      <c r="G47" s="30" t="inlineStr">
        <is>
          <t>Columns or tables missing description, owner, tags, or classification.</t>
        </is>
      </c>
    </row>
    <row r="48" ht="26" customHeight="1">
      <c r="B48" s="21" t="n">
        <v>33</v>
      </c>
      <c r="C48" s="71" t="inlineStr">
        <is>
          <t>Timestamp Sequence Integrity</t>
        </is>
      </c>
      <c r="D48" s="52" t="inlineStr">
        <is>
          <t>Time_Series</t>
        </is>
      </c>
      <c r="E48" s="87" t="n">
        <v>0.01</v>
      </c>
      <c r="F48" s="24" t="inlineStr">
        <is>
          <t>≤ 0.5%</t>
        </is>
      </c>
      <c r="G48" s="26" t="inlineStr">
        <is>
          <t>Duplicate, missing, or non-monotonic timestamps in time-series data.</t>
        </is>
      </c>
    </row>
    <row r="49" ht="20" customHeight="1">
      <c r="B49" s="36" t="inlineStr"/>
      <c r="C49" s="37" t="inlineStr">
        <is>
          <t>Phase subtotal (2 checks)</t>
        </is>
      </c>
      <c r="D49" s="36" t="inlineStr"/>
      <c r="E49" s="88" t="n">
        <v>0.02</v>
      </c>
      <c r="F49" s="40" t="inlineStr">
        <is>
          <t>2% of total score</t>
        </is>
      </c>
      <c r="G49" s="36" t="inlineStr"/>
    </row>
  </sheetData>
  <mergeCells count="7">
    <mergeCell ref="B3:G3"/>
    <mergeCell ref="B28:G28"/>
    <mergeCell ref="B45:G45"/>
    <mergeCell ref="B1:G1"/>
    <mergeCell ref="B4:G4"/>
    <mergeCell ref="B44:G44"/>
    <mergeCell ref="B29:G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2026-04-03T12:49:45Z</dcterms:created>
  <dcterms:modified xsi:type="dcterms:W3CDTF">2026-04-03T12:49:45Z</dcterms:modified>
</cp:coreProperties>
</file>